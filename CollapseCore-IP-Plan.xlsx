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bnets" sheetId="1" state="visible" r:id="rId3"/>
    <sheet name="VLANs" sheetId="2" state="visible" r:id="rId4"/>
    <sheet name="Device IPs" sheetId="3" state="visible" r:id="rId5"/>
    <sheet name="Management" sheetId="4" state="visible" r:id="rId6"/>
    <sheet name="Transit networks" sheetId="5" state="visible" r:id="rId7"/>
  </sheets>
  <definedNames>
    <definedName function="false" hidden="true" localSheetId="2" name="_xlnm._FilterDatabase" vbProcedure="false">'Device IPs'!$A$1:$J$70</definedName>
    <definedName function="false" hidden="true" localSheetId="3" name="_xlnm._FilterDatabase" vbProcedure="false">Management!$A$1:$G$15</definedName>
    <definedName function="false" hidden="true" localSheetId="0" name="_xlnm._FilterDatabase" vbProcedure="false">Subnets!$A$1:$P$17</definedName>
    <definedName function="false" hidden="true" localSheetId="4" name="_xlnm._FilterDatabase" vbProcedure="false">'Transit networks'!$A$1:$E$24</definedName>
    <definedName function="false" hidden="true" localSheetId="1" name="_xlnm._FilterDatabase" vbProcedure="false">VLANs!$A$1:$H$14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<sst xmlns="http://schemas.openxmlformats.org/spreadsheetml/2006/main" count="1237" uniqueCount="421">
  <si>
    <t xml:space="preserve">Name</t>
  </si>
  <si>
    <t xml:space="preserve">Network</t>
  </si>
  <si>
    <t xml:space="preserve">CIDR</t>
  </si>
  <si>
    <t xml:space="preserve">Subnet mask</t>
  </si>
  <si>
    <t xml:space="preserve">Wildcard mask</t>
  </si>
  <si>
    <t xml:space="preserve">First usable</t>
  </si>
  <si>
    <t xml:space="preserve">Last usable</t>
  </si>
  <si>
    <t xml:space="preserve">Broadcast</t>
  </si>
  <si>
    <t xml:space="preserve">Usable hosts</t>
  </si>
  <si>
    <t xml:space="preserve">VLAN ID</t>
  </si>
  <si>
    <t xml:space="preserve">VLAN name</t>
  </si>
  <si>
    <t xml:space="preserve">Default gateway</t>
  </si>
  <si>
    <t xml:space="preserve">Gateway type</t>
  </si>
  <si>
    <t xml:space="preserve">Core 1 (BLG1) IP</t>
  </si>
  <si>
    <t xml:space="preserve">Core 2 (BLDG2) IP</t>
  </si>
  <si>
    <t xml:space="preserve">Purpose</t>
  </si>
  <si>
    <t xml:space="preserve">CLIENT</t>
  </si>
  <si>
    <t xml:space="preserve">128.137.232.0</t>
  </si>
  <si>
    <t xml:space="preserve">/24</t>
  </si>
  <si>
    <t xml:space="preserve">255.255.255.0</t>
  </si>
  <si>
    <t xml:space="preserve">0.0.0.255</t>
  </si>
  <si>
    <t xml:space="preserve">128.137.232.1</t>
  </si>
  <si>
    <t xml:space="preserve">128.137.232.254</t>
  </si>
  <si>
    <t xml:space="preserve">128.137.232.255</t>
  </si>
  <si>
    <t xml:space="preserve">30</t>
  </si>
  <si>
    <t xml:space="preserve">HSRP VIP</t>
  </si>
  <si>
    <t xml:space="preserve">128.137.232.2</t>
  </si>
  <si>
    <t xml:space="preserve">Employees, IT users, wireless client SSID</t>
  </si>
  <si>
    <t xml:space="preserve">VOICE</t>
  </si>
  <si>
    <t xml:space="preserve">128.137.233.0</t>
  </si>
  <si>
    <t xml:space="preserve">128.137.233.1</t>
  </si>
  <si>
    <t xml:space="preserve">128.137.233.254</t>
  </si>
  <si>
    <t xml:space="preserve">128.137.233.255</t>
  </si>
  <si>
    <t xml:space="preserve">40</t>
  </si>
  <si>
    <t xml:space="preserve">128.137.233.2</t>
  </si>
  <si>
    <t xml:space="preserve">IP phones; CME-RT at .252</t>
  </si>
  <si>
    <t xml:space="preserve">PRINTER</t>
  </si>
  <si>
    <t xml:space="preserve">128.137.234.0</t>
  </si>
  <si>
    <t xml:space="preserve">/27</t>
  </si>
  <si>
    <t xml:space="preserve">255.255.255.224</t>
  </si>
  <si>
    <t xml:space="preserve">0.0.0.31</t>
  </si>
  <si>
    <t xml:space="preserve">128.137.234.1</t>
  </si>
  <si>
    <t xml:space="preserve">128.137.234.30</t>
  </si>
  <si>
    <t xml:space="preserve">128.137.234.31</t>
  </si>
  <si>
    <t xml:space="preserve">70</t>
  </si>
  <si>
    <t xml:space="preserve">128.137.234.2</t>
  </si>
  <si>
    <t xml:space="preserve">Network printers</t>
  </si>
  <si>
    <t xml:space="preserve">EXECUTIVE</t>
  </si>
  <si>
    <t xml:space="preserve">128.137.234.32</t>
  </si>
  <si>
    <t xml:space="preserve">128.137.234.33</t>
  </si>
  <si>
    <t xml:space="preserve">128.137.234.62</t>
  </si>
  <si>
    <t xml:space="preserve">128.137.234.63</t>
  </si>
  <si>
    <t xml:space="preserve">80</t>
  </si>
  <si>
    <t xml:space="preserve">128.137.234.34</t>
  </si>
  <si>
    <t xml:space="preserve">Executive users, executive wireless SSID</t>
  </si>
  <si>
    <t xml:space="preserve">MANAGEMENT</t>
  </si>
  <si>
    <t xml:space="preserve">128.137.234.64</t>
  </si>
  <si>
    <t xml:space="preserve">128.137.234.65</t>
  </si>
  <si>
    <t xml:space="preserve">128.137.234.94</t>
  </si>
  <si>
    <t xml:space="preserve">128.137.234.95</t>
  </si>
  <si>
    <t xml:space="preserve">999</t>
  </si>
  <si>
    <t xml:space="preserve">128.137.234.66</t>
  </si>
  <si>
    <t xml:space="preserve">Switch, core and WLC management</t>
  </si>
  <si>
    <t xml:space="preserve">GUEST</t>
  </si>
  <si>
    <t xml:space="preserve">128.137.234.96</t>
  </si>
  <si>
    <t xml:space="preserve">128.137.234.97</t>
  </si>
  <si>
    <t xml:space="preserve">128.137.234.126</t>
  </si>
  <si>
    <t xml:space="preserve">128.137.234.127</t>
  </si>
  <si>
    <t xml:space="preserve">100</t>
  </si>
  <si>
    <t xml:space="preserve">128.137.234.98</t>
  </si>
  <si>
    <t xml:space="preserve">Guest wireless SSID</t>
  </si>
  <si>
    <t xml:space="preserve">FW-TRANSIT-A</t>
  </si>
  <si>
    <t xml:space="preserve">10.255.1.0</t>
  </si>
  <si>
    <t xml:space="preserve">/29</t>
  </si>
  <si>
    <t xml:space="preserve">255.255.255.248</t>
  </si>
  <si>
    <t xml:space="preserve">0.0.0.7</t>
  </si>
  <si>
    <t xml:space="preserve">10.255.1.1</t>
  </si>
  <si>
    <t xml:space="preserve">10.255.1.6</t>
  </si>
  <si>
    <t xml:space="preserve">10.255.1.7</t>
  </si>
  <si>
    <t xml:space="preserve">601</t>
  </si>
  <si>
    <t xml:space="preserve">10.255.1.5</t>
  </si>
  <si>
    <t xml:space="preserve">10.255.1.3</t>
  </si>
  <si>
    <t xml:space="preserve">10.255.1.4</t>
  </si>
  <si>
    <t xml:space="preserve">Cores to firewalls, path A (Primary-FW .1, Secondary-FW .2)</t>
  </si>
  <si>
    <t xml:space="preserve">FW-TRANSIT-B</t>
  </si>
  <si>
    <t xml:space="preserve">10.255.2.0</t>
  </si>
  <si>
    <t xml:space="preserve">10.255.2.1</t>
  </si>
  <si>
    <t xml:space="preserve">10.255.2.6</t>
  </si>
  <si>
    <t xml:space="preserve">10.255.2.7</t>
  </si>
  <si>
    <t xml:space="preserve">602</t>
  </si>
  <si>
    <t xml:space="preserve">10.255.2.5</t>
  </si>
  <si>
    <t xml:space="preserve">10.255.2.3</t>
  </si>
  <si>
    <t xml:space="preserve">10.255.2.4</t>
  </si>
  <si>
    <t xml:space="preserve">Cores to firewalls, path B (Primary-FW .1, Secondary-FW .2)</t>
  </si>
  <si>
    <t xml:space="preserve">DMZ-TRANSIT</t>
  </si>
  <si>
    <t xml:space="preserve">10.255.30.0</t>
  </si>
  <si>
    <t xml:space="preserve">10.255.30.1</t>
  </si>
  <si>
    <t xml:space="preserve">10.255.30.6</t>
  </si>
  <si>
    <t xml:space="preserve">10.255.30.7</t>
  </si>
  <si>
    <t xml:space="preserve">300</t>
  </si>
  <si>
    <t xml:space="preserve">DMZ transit (DMZ-RT switch module)</t>
  </si>
  <si>
    <t xml:space="preserve">n/a</t>
  </si>
  <si>
    <t xml:space="preserve">no gateway</t>
  </si>
  <si>
    <t xml:space="preserve">Firewalls to DMZ-RT: DMZ-RT .1, Primary-FW .2, Secondary-FW .3</t>
  </si>
  <si>
    <t xml:space="preserve">DMZ-SERVERS</t>
  </si>
  <si>
    <t xml:space="preserve">192.168.1.0</t>
  </si>
  <si>
    <t xml:space="preserve">192.168.1.1</t>
  </si>
  <si>
    <t xml:space="preserve">192.168.1.254</t>
  </si>
  <si>
    <t xml:space="preserve">192.168.1.255</t>
  </si>
  <si>
    <t xml:space="preserve">200</t>
  </si>
  <si>
    <t xml:space="preserve">DMZ-SERVERS (DMZ-SW1)</t>
  </si>
  <si>
    <t xml:space="preserve">DMZ-RT Fa0/0</t>
  </si>
  <si>
    <t xml:space="preserve">DMZ servers and DMZ-SW1 management</t>
  </si>
  <si>
    <t xml:space="preserve">COMCAST-CIRCUIT</t>
  </si>
  <si>
    <t xml:space="preserve">65.120.100.0</t>
  </si>
  <si>
    <t xml:space="preserve">65.120.100.1</t>
  </si>
  <si>
    <t xml:space="preserve">65.120.100.6</t>
  </si>
  <si>
    <t xml:space="preserve">65.120.100.7</t>
  </si>
  <si>
    <t xml:space="preserve">10</t>
  </si>
  <si>
    <t xml:space="preserve">COMCAST-SW VLAN 10</t>
  </si>
  <si>
    <t xml:space="preserve">COMCAST-L3 Gi0/1</t>
  </si>
  <si>
    <t xml:space="preserve">Comcast circuit: Primary-FW .2, Secondary-FW .3</t>
  </si>
  <si>
    <t xml:space="preserve">VERIZON-CIRCUIT</t>
  </si>
  <si>
    <t xml:space="preserve">71.96.50.0</t>
  </si>
  <si>
    <t xml:space="preserve">71.96.50.1</t>
  </si>
  <si>
    <t xml:space="preserve">71.96.50.6</t>
  </si>
  <si>
    <t xml:space="preserve">71.96.50.7</t>
  </si>
  <si>
    <t xml:space="preserve">20</t>
  </si>
  <si>
    <t xml:space="preserve">VERIZON-SW VLAN 20</t>
  </si>
  <si>
    <t xml:space="preserve">VERIZON-L3 Gi0/0</t>
  </si>
  <si>
    <t xml:space="preserve">Verizon circuit: Primary-FW .2, Secondary-FW .3</t>
  </si>
  <si>
    <t xml:space="preserve">COMCAST-SERVICES</t>
  </si>
  <si>
    <t xml:space="preserve">75.75.75.0</t>
  </si>
  <si>
    <t xml:space="preserve">75.75.75.1</t>
  </si>
  <si>
    <t xml:space="preserve">75.75.75.254</t>
  </si>
  <si>
    <t xml:space="preserve">75.75.75.255</t>
  </si>
  <si>
    <t xml:space="preserve">none</t>
  </si>
  <si>
    <t xml:space="preserve">COMCAST-L3 Gi0/2</t>
  </si>
  <si>
    <t xml:space="preserve">Comcast DNS .75 and web .74</t>
  </si>
  <si>
    <t xml:space="preserve">VERIZON-SERVICES</t>
  </si>
  <si>
    <t xml:space="preserve">68.237.161.0</t>
  </si>
  <si>
    <t xml:space="preserve">68.237.161.1</t>
  </si>
  <si>
    <t xml:space="preserve">68.237.161.254</t>
  </si>
  <si>
    <t xml:space="preserve">68.237.161.255</t>
  </si>
  <si>
    <t xml:space="preserve">VERIZON-L3 Gi0/1</t>
  </si>
  <si>
    <t xml:space="preserve">Verizon DNS .14 and web .15</t>
  </si>
  <si>
    <t xml:space="preserve">ISP-UPSTREAM-A</t>
  </si>
  <si>
    <t xml:space="preserve">203.0.113.0</t>
  </si>
  <si>
    <t xml:space="preserve">/30</t>
  </si>
  <si>
    <t xml:space="preserve">255.255.255.252</t>
  </si>
  <si>
    <t xml:space="preserve">0.0.0.3</t>
  </si>
  <si>
    <t xml:space="preserve">203.0.113.1</t>
  </si>
  <si>
    <t xml:space="preserve">203.0.113.2</t>
  </si>
  <si>
    <t xml:space="preserve">203.0.113.3</t>
  </si>
  <si>
    <t xml:space="preserve">point to point</t>
  </si>
  <si>
    <t xml:space="preserve">COMCAST-L3 Gi0/0 .1 to ISP-INTERNET-CON Gi0/0 .2</t>
  </si>
  <si>
    <t xml:space="preserve">ISP-UPSTREAM-B</t>
  </si>
  <si>
    <t xml:space="preserve">203.0.113.4</t>
  </si>
  <si>
    <t xml:space="preserve">203.0.113.5</t>
  </si>
  <si>
    <t xml:space="preserve">203.0.113.6</t>
  </si>
  <si>
    <t xml:space="preserve">203.0.113.7</t>
  </si>
  <si>
    <t xml:space="preserve">VERIZON-L3 Gi0/2 .5 to ISP-INTERNET-CON Gi0/1 .6</t>
  </si>
  <si>
    <t xml:space="preserve">Notes</t>
  </si>
  <si>
    <t xml:space="preserve">VLAN 90 is the native VLAN on every inter-switch trunk and has no IP subnet.</t>
  </si>
  <si>
    <t xml:space="preserve">Usable hosts is a formula from the CIDR column; /30 gives 2 and /29 gives 6.</t>
  </si>
  <si>
    <t xml:space="preserve">The campus block 128.137.232.0/22 covers VLANs 30, 40, 70, 80, 100 and 999. Firewall transit and DMZ transit use 10.255.0.0/16.</t>
  </si>
  <si>
    <t xml:space="preserve">Source: final saved Packet Tracer file (Modern HA-ISP CollapseCore).</t>
  </si>
  <si>
    <t xml:space="preserve">Subnet</t>
  </si>
  <si>
    <t xml:space="preserve">BLG1-MDF-SW1 SVI</t>
  </si>
  <si>
    <t xml:space="preserve">BLDG2-MDF-SW1 SVI</t>
  </si>
  <si>
    <t xml:space="preserve">HSRP VIP / gateway</t>
  </si>
  <si>
    <t xml:space="preserve">HSRP active core</t>
  </si>
  <si>
    <t xml:space="preserve">128.137.232.0/24</t>
  </si>
  <si>
    <t xml:space="preserve">BLDG1</t>
  </si>
  <si>
    <t xml:space="preserve">Employee and IT access ports, wireless client SSID</t>
  </si>
  <si>
    <t xml:space="preserve">128.137.233.0/24</t>
  </si>
  <si>
    <t xml:space="preserve">Voice VLAN on every access port; CME-RT .252</t>
  </si>
  <si>
    <t xml:space="preserve">128.137.234.0/27</t>
  </si>
  <si>
    <t xml:space="preserve">Fa0/20 on each access switch</t>
  </si>
  <si>
    <t xml:space="preserve">128.137.234.32/27</t>
  </si>
  <si>
    <t xml:space="preserve">Executive access ports, executive SSID</t>
  </si>
  <si>
    <t xml:space="preserve">90</t>
  </si>
  <si>
    <t xml:space="preserve">NATIVE</t>
  </si>
  <si>
    <t xml:space="preserve">Native VLAN on trunks; no hosts</t>
  </si>
  <si>
    <t xml:space="preserve">128.137.234.96/27</t>
  </si>
  <si>
    <t xml:space="preserve">Guest SSID</t>
  </si>
  <si>
    <t xml:space="preserve">192.168.1.0/24</t>
  </si>
  <si>
    <t xml:space="preserve">192.168.1.1 (DMZ-RT)</t>
  </si>
  <si>
    <t xml:space="preserve">DMZ-SW1 server ports</t>
  </si>
  <si>
    <t xml:space="preserve">DMZ transit</t>
  </si>
  <si>
    <t xml:space="preserve">10.255.30.0/29</t>
  </si>
  <si>
    <t xml:space="preserve">DMZ-RT switch module to both firewalls</t>
  </si>
  <si>
    <t xml:space="preserve">10.255.1.0/29</t>
  </si>
  <si>
    <t xml:space="preserve">Primary-FW .1 and Secondary-FW .2</t>
  </si>
  <si>
    <t xml:space="preserve">10.255.2.0/29</t>
  </si>
  <si>
    <t xml:space="preserve">BLDG2</t>
  </si>
  <si>
    <t xml:space="preserve">128.137.234.64/27</t>
  </si>
  <si>
    <t xml:space="preserve">COMCAST-SW VLAN</t>
  </si>
  <si>
    <t xml:space="preserve">65.120.100.0/29</t>
  </si>
  <si>
    <t xml:space="preserve">65.120.100.1 (COMCAST-L3)</t>
  </si>
  <si>
    <t xml:space="preserve">Comcast switch ports for both firewalls</t>
  </si>
  <si>
    <t xml:space="preserve">VERIZON-SW VLAN</t>
  </si>
  <si>
    <t xml:space="preserve">71.96.50.0/29</t>
  </si>
  <si>
    <t xml:space="preserve">71.96.50.1 (VERIZON-L3)</t>
  </si>
  <si>
    <t xml:space="preserve">Verizon switch ports for both firewalls</t>
  </si>
  <si>
    <t xml:space="preserve">Device</t>
  </si>
  <si>
    <t xml:space="preserve">Interface</t>
  </si>
  <si>
    <t xml:space="preserve">IP address</t>
  </si>
  <si>
    <t xml:space="preserve">Network name</t>
  </si>
  <si>
    <t xml:space="preserve">Type</t>
  </si>
  <si>
    <t xml:space="preserve">Role / description</t>
  </si>
  <si>
    <t xml:space="preserve">Note</t>
  </si>
  <si>
    <t xml:space="preserve">Primary-FW</t>
  </si>
  <si>
    <t xml:space="preserve">GigabitEthernet1/1</t>
  </si>
  <si>
    <t xml:space="preserve">Transit</t>
  </si>
  <si>
    <t xml:space="preserve">INSIDE-A VLAN 601 to BLDG1 Gi1/0/1</t>
  </si>
  <si>
    <t xml:space="preserve">Secondary-FW</t>
  </si>
  <si>
    <t xml:space="preserve">10.255.1.2</t>
  </si>
  <si>
    <t xml:space="preserve">INSIDE-A VLAN 601 to BLDG2 Gi1/0/1</t>
  </si>
  <si>
    <t xml:space="preserve">BLG1-MDF-SW1</t>
  </si>
  <si>
    <t xml:space="preserve">Vlan601</t>
  </si>
  <si>
    <t xml:space="preserve">FW TRANSIT A</t>
  </si>
  <si>
    <t xml:space="preserve">BLDG2-MDF-SW1</t>
  </si>
  <si>
    <t xml:space="preserve">BLG1-MDF-SW1 / BLDG2-MDF-SW1</t>
  </si>
  <si>
    <t xml:space="preserve">Vlan601 (HSRP 601)</t>
  </si>
  <si>
    <t xml:space="preserve">HSRP virtual gateway</t>
  </si>
  <si>
    <t xml:space="preserve">shared by both cores</t>
  </si>
  <si>
    <t xml:space="preserve">GigabitEthernet1/2</t>
  </si>
  <si>
    <t xml:space="preserve">INSIDE-B VLAN 602 to BLDG2 Gi1/0/2</t>
  </si>
  <si>
    <t xml:space="preserve">10.255.2.2</t>
  </si>
  <si>
    <t xml:space="preserve">INSIDE-B VLAN 602 to BLDG1 Gi1/0/2</t>
  </si>
  <si>
    <t xml:space="preserve">Vlan602</t>
  </si>
  <si>
    <t xml:space="preserve">FW TRANSIT B</t>
  </si>
  <si>
    <t xml:space="preserve">Vlan602 (HSRP 602)</t>
  </si>
  <si>
    <t xml:space="preserve">DMZ-RT</t>
  </si>
  <si>
    <t xml:space="preserve">Vlan300</t>
  </si>
  <si>
    <t xml:space="preserve">FIREWALL DMZ TRANSIT</t>
  </si>
  <si>
    <t xml:space="preserve">GigabitEthernet1/3</t>
  </si>
  <si>
    <t xml:space="preserve">10.255.30.2</t>
  </si>
  <si>
    <t xml:space="preserve">DMZ VLAN 300 to DMZ-RT Fa1/1</t>
  </si>
  <si>
    <t xml:space="preserve">10.255.30.3</t>
  </si>
  <si>
    <t xml:space="preserve">DMZ VLAN 300 to DMZ-RT Fa1/2</t>
  </si>
  <si>
    <t xml:space="preserve">COMCAST-L3</t>
  </si>
  <si>
    <t xml:space="preserve">GigabitEthernet0/1</t>
  </si>
  <si>
    <t xml:space="preserve">ISP circuit</t>
  </si>
  <si>
    <t xml:space="preserve">DIA CIRCUIT TO ITSUPPORT</t>
  </si>
  <si>
    <t xml:space="preserve">GigabitEthernet1/4</t>
  </si>
  <si>
    <t xml:space="preserve">65.120.100.2</t>
  </si>
  <si>
    <t xml:space="preserve">OUTSIDE COMCAST via COMCAST-SW</t>
  </si>
  <si>
    <t xml:space="preserve">65.120.100.3</t>
  </si>
  <si>
    <t xml:space="preserve">static NAT (Comcast)</t>
  </si>
  <si>
    <t xml:space="preserve">65.120.100.4</t>
  </si>
  <si>
    <t xml:space="preserve">NAT</t>
  </si>
  <si>
    <t xml:space="preserve">Published address for Resume-Web 192.168.1.4</t>
  </si>
  <si>
    <t xml:space="preserve">Primary-FW only</t>
  </si>
  <si>
    <t xml:space="preserve">65.120.100.5</t>
  </si>
  <si>
    <t xml:space="preserve">Published address for ITSupport-Web 192.168.1.9</t>
  </si>
  <si>
    <t xml:space="preserve">VERIZON-L3</t>
  </si>
  <si>
    <t xml:space="preserve">ISP services</t>
  </si>
  <si>
    <t xml:space="preserve">VERIZON SERVICES DNS 68.237.161.14, WEB 68.237.161.15</t>
  </si>
  <si>
    <t xml:space="preserve">VERIZON-DNS</t>
  </si>
  <si>
    <t xml:space="preserve">FastEthernet0</t>
  </si>
  <si>
    <t xml:space="preserve">68.237.161.14</t>
  </si>
  <si>
    <t xml:space="preserve">Verizon DNS</t>
  </si>
  <si>
    <t xml:space="preserve">VERIZON-WEB</t>
  </si>
  <si>
    <t xml:space="preserve">68.237.161.15</t>
  </si>
  <si>
    <t xml:space="preserve">Verizon web site</t>
  </si>
  <si>
    <t xml:space="preserve">GigabitEthernet0/0</t>
  </si>
  <si>
    <t xml:space="preserve">GigabitEthernet1/5</t>
  </si>
  <si>
    <t xml:space="preserve">71.96.50.2</t>
  </si>
  <si>
    <t xml:space="preserve">OUTSIDE VERIZON via VERIZON-SW</t>
  </si>
  <si>
    <t xml:space="preserve">71.96.50.3</t>
  </si>
  <si>
    <t xml:space="preserve">static NAT (Verizon)</t>
  </si>
  <si>
    <t xml:space="preserve">71.96.50.4</t>
  </si>
  <si>
    <t xml:space="preserve">71.96.50.5</t>
  </si>
  <si>
    <t xml:space="preserve">GigabitEthernet0/2</t>
  </si>
  <si>
    <t xml:space="preserve">COMCAST SERVICES DNS 75.75.75.75, WEB 75.75.75.74</t>
  </si>
  <si>
    <t xml:space="preserve">COMCAST-WEB</t>
  </si>
  <si>
    <t xml:space="preserve">75.75.75.74</t>
  </si>
  <si>
    <t xml:space="preserve">Comcast web site</t>
  </si>
  <si>
    <t xml:space="preserve">COMCAST-DNS</t>
  </si>
  <si>
    <t xml:space="preserve">75.75.75.75</t>
  </si>
  <si>
    <t xml:space="preserve">Comcast DNS</t>
  </si>
  <si>
    <t xml:space="preserve">Vlan30</t>
  </si>
  <si>
    <t xml:space="preserve">User VLAN</t>
  </si>
  <si>
    <t xml:space="preserve">WLC-3504</t>
  </si>
  <si>
    <t xml:space="preserve">ITSupport-Client (VLAN 30)</t>
  </si>
  <si>
    <t xml:space="preserve">128.137.232.252</t>
  </si>
  <si>
    <t xml:space="preserve">Controller dynamic interface, Client WLAN</t>
  </si>
  <si>
    <t xml:space="preserve">Vlan30 (HSRP 30)</t>
  </si>
  <si>
    <t xml:space="preserve">Vlan40</t>
  </si>
  <si>
    <t xml:space="preserve">CME-RT</t>
  </si>
  <si>
    <t xml:space="preserve">128.137.233.252</t>
  </si>
  <si>
    <t xml:space="preserve">VOICE VLAN, CME ADDRESS</t>
  </si>
  <si>
    <t xml:space="preserve">Vlan40 (HSRP 40)</t>
  </si>
  <si>
    <t xml:space="preserve">Vlan70</t>
  </si>
  <si>
    <t xml:space="preserve">Vlan70 (HSRP 70)</t>
  </si>
  <si>
    <t xml:space="preserve">Vlan80</t>
  </si>
  <si>
    <t xml:space="preserve">ITSupport-Executive (VLAN 80)</t>
  </si>
  <si>
    <t xml:space="preserve">128.137.234.61</t>
  </si>
  <si>
    <t xml:space="preserve">Controller dynamic interface, Executive WLAN</t>
  </si>
  <si>
    <t xml:space="preserve">Vlan80 (HSRP 80)</t>
  </si>
  <si>
    <t xml:space="preserve">Vlan999</t>
  </si>
  <si>
    <t xml:space="preserve">Management</t>
  </si>
  <si>
    <t xml:space="preserve">128.137.234.70</t>
  </si>
  <si>
    <t xml:space="preserve">Wireless controller management, untagged on native VLAN 999</t>
  </si>
  <si>
    <t xml:space="preserve">Employee</t>
  </si>
  <si>
    <t xml:space="preserve">128.137.234.71</t>
  </si>
  <si>
    <t xml:space="preserve">Executive</t>
  </si>
  <si>
    <t xml:space="preserve">128.137.234.72</t>
  </si>
  <si>
    <t xml:space="preserve">ITSupport</t>
  </si>
  <si>
    <t xml:space="preserve">128.137.234.73</t>
  </si>
  <si>
    <t xml:space="preserve">Vlan999 (HSRP 999)</t>
  </si>
  <si>
    <t xml:space="preserve">Vlan100</t>
  </si>
  <si>
    <t xml:space="preserve">ITSupport-Guest (VLAN 100)</t>
  </si>
  <si>
    <t xml:space="preserve">128.137.234.124</t>
  </si>
  <si>
    <t xml:space="preserve">Controller dynamic interface, Guest WLAN</t>
  </si>
  <si>
    <t xml:space="preserve">Vlan100 (HSRP 100)</t>
  </si>
  <si>
    <t xml:space="preserve">FastEthernet0/0</t>
  </si>
  <si>
    <t xml:space="preserve">DMZ server subnet</t>
  </si>
  <si>
    <t xml:space="preserve">TO DMZ-SW1 Gi0/1 - SERVER GATEWAY</t>
  </si>
  <si>
    <t xml:space="preserve">DHCP</t>
  </si>
  <si>
    <t xml:space="preserve">192.168.1.2</t>
  </si>
  <si>
    <t xml:space="preserve">DHCP server</t>
  </si>
  <si>
    <t xml:space="preserve">DNS</t>
  </si>
  <si>
    <t xml:space="preserve">192.168.1.3</t>
  </si>
  <si>
    <t xml:space="preserve">Internal DNS</t>
  </si>
  <si>
    <t xml:space="preserve">Resume-Web</t>
  </si>
  <si>
    <t xml:space="preserve">192.168.1.4</t>
  </si>
  <si>
    <t xml:space="preserve">Published web server</t>
  </si>
  <si>
    <t xml:space="preserve">Email</t>
  </si>
  <si>
    <t xml:space="preserve">192.168.1.5</t>
  </si>
  <si>
    <t xml:space="preserve">SMTP and POP3</t>
  </si>
  <si>
    <t xml:space="preserve">AAA</t>
  </si>
  <si>
    <t xml:space="preserve">192.168.1.6</t>
  </si>
  <si>
    <t xml:space="preserve">RADIUS server, UDP 1645</t>
  </si>
  <si>
    <t xml:space="preserve">NTP</t>
  </si>
  <si>
    <t xml:space="preserve">192.168.1.7</t>
  </si>
  <si>
    <t xml:space="preserve">NTP server</t>
  </si>
  <si>
    <t xml:space="preserve">TFTP</t>
  </si>
  <si>
    <t xml:space="preserve">192.168.1.8</t>
  </si>
  <si>
    <t xml:space="preserve">TFTP server</t>
  </si>
  <si>
    <t xml:space="preserve">ITSupport-Web</t>
  </si>
  <si>
    <t xml:space="preserve">192.168.1.9</t>
  </si>
  <si>
    <t xml:space="preserve">DMZ-SW1</t>
  </si>
  <si>
    <t xml:space="preserve">Vlan200</t>
  </si>
  <si>
    <t xml:space="preserve">192.168.1.10</t>
  </si>
  <si>
    <t xml:space="preserve">SWITCH MANAGEMENT</t>
  </si>
  <si>
    <t xml:space="preserve">UPSTREAM TO INTERNET-RT Gi0/0</t>
  </si>
  <si>
    <t xml:space="preserve">ISP-INTERNET-CON</t>
  </si>
  <si>
    <t xml:space="preserve">TO COMCAST-L3 Gi0/0</t>
  </si>
  <si>
    <t xml:space="preserve">UPSTREAM TO INTERNET-RT Gi0/1</t>
  </si>
  <si>
    <t xml:space="preserve">TO VERIZON-L3 Gi0/2</t>
  </si>
  <si>
    <t xml:space="preserve">VLAN 999</t>
  </si>
  <si>
    <t xml:space="preserve">Core 1 SVI</t>
  </si>
  <si>
    <t xml:space="preserve">Core 2 SVI</t>
  </si>
  <si>
    <t xml:space="preserve">BLG1 / BLDG2 HSRP</t>
  </si>
  <si>
    <t xml:space="preserve">Vlan999 VIP</t>
  </si>
  <si>
    <t xml:space="preserve">Management gateway for all access switches</t>
  </si>
  <si>
    <t xml:space="preserve">VLAN 999 (untagged)</t>
  </si>
  <si>
    <t xml:space="preserve">Wireless controller</t>
  </si>
  <si>
    <t xml:space="preserve">Access switch, gateway .94</t>
  </si>
  <si>
    <t xml:space="preserve">VLAN 200</t>
  </si>
  <si>
    <t xml:space="preserve">DMZ switch, gateway 192.168.1.1</t>
  </si>
  <si>
    <t xml:space="preserve">Fa0/0</t>
  </si>
  <si>
    <t xml:space="preserve">DMZ servers</t>
  </si>
  <si>
    <t xml:space="preserve">Router and server gateway</t>
  </si>
  <si>
    <t xml:space="preserve">VLAN 40</t>
  </si>
  <si>
    <t xml:space="preserve">Voice router, gateway 128.137.233.254</t>
  </si>
  <si>
    <t xml:space="preserve">INSIDE-A / INSIDE-B</t>
  </si>
  <si>
    <t xml:space="preserve">10.255.1.1 and 10.255.2.1</t>
  </si>
  <si>
    <t xml:space="preserve">VLAN 601 / 602</t>
  </si>
  <si>
    <t xml:space="preserve">Firewalls have no dedicated management port; SSH over inside interfaces</t>
  </si>
  <si>
    <t xml:space="preserve">10.255.1.2 and 10.255.2.2</t>
  </si>
  <si>
    <t xml:space="preserve">Same as Primary-FW</t>
  </si>
  <si>
    <t xml:space="preserve">AAA (RADIUS)</t>
  </si>
  <si>
    <t xml:space="preserve">UDP 1645, used for device and WLAN login</t>
  </si>
  <si>
    <t xml:space="preserve">Authenticated time source</t>
  </si>
  <si>
    <t xml:space="preserve">Segment</t>
  </si>
  <si>
    <t xml:space="preserve">Endpoint</t>
  </si>
  <si>
    <t xml:space="preserve">Connected to / role</t>
  </si>
  <si>
    <t xml:space="preserve">FW-TRANSIT-A (VLAN 601)</t>
  </si>
  <si>
    <t xml:space="preserve">Primary-FW Gi1/1</t>
  </si>
  <si>
    <t xml:space="preserve">BLG1-MDF-SW1 Gi1/0/1</t>
  </si>
  <si>
    <t xml:space="preserve">Secondary-FW Gi1/1</t>
  </si>
  <si>
    <t xml:space="preserve">BLDG2-MDF-SW1 Gi1/0/1</t>
  </si>
  <si>
    <t xml:space="preserve">BLG1-MDF-SW1 Vlan601</t>
  </si>
  <si>
    <t xml:space="preserve">HSRP active</t>
  </si>
  <si>
    <t xml:space="preserve">BLDG2-MDF-SW1 Vlan601</t>
  </si>
  <si>
    <t xml:space="preserve">HSRP standby</t>
  </si>
  <si>
    <t xml:space="preserve">Gateway for the firewalls toward campus</t>
  </si>
  <si>
    <t xml:space="preserve">FW-TRANSIT-B (VLAN 602)</t>
  </si>
  <si>
    <t xml:space="preserve">Primary-FW Gi1/2</t>
  </si>
  <si>
    <t xml:space="preserve">BLDG2-MDF-SW1 Gi1/0/2</t>
  </si>
  <si>
    <t xml:space="preserve">Secondary-FW Gi1/2</t>
  </si>
  <si>
    <t xml:space="preserve">BLG1-MDF-SW1 Gi1/0/2</t>
  </si>
  <si>
    <t xml:space="preserve">BLG1-MDF-SW1 Vlan602</t>
  </si>
  <si>
    <t xml:space="preserve">HSRP standby, OSPF cost 50</t>
  </si>
  <si>
    <t xml:space="preserve">BLDG2-MDF-SW1 Vlan602</t>
  </si>
  <si>
    <t xml:space="preserve">HSRP active, OSPF cost 50</t>
  </si>
  <si>
    <t xml:space="preserve">DMZ-TRANSIT (VLAN 300)</t>
  </si>
  <si>
    <t xml:space="preserve">DMZ-RT Vlan300</t>
  </si>
  <si>
    <t xml:space="preserve">Fa1/1 and Fa1/2 switch ports</t>
  </si>
  <si>
    <t xml:space="preserve">Primary-FW Gi1/3</t>
  </si>
  <si>
    <t xml:space="preserve">DMZ-RT Fa1/1</t>
  </si>
  <si>
    <t xml:space="preserve">Secondary-FW Gi1/3</t>
  </si>
  <si>
    <t xml:space="preserve">DMZ-RT Fa1/2</t>
  </si>
  <si>
    <t xml:space="preserve">203.0.113.0/30</t>
  </si>
  <si>
    <t xml:space="preserve">COMCAST-L3 Gi0/0</t>
  </si>
  <si>
    <t xml:space="preserve">Upstream</t>
  </si>
  <si>
    <t xml:space="preserve">ISP-INTERNET-CON Gi0/0</t>
  </si>
  <si>
    <t xml:space="preserve">203.0.113.4/30</t>
  </si>
  <si>
    <t xml:space="preserve">VERIZON-L3 Gi0/2</t>
  </si>
  <si>
    <t xml:space="preserve">ISP-INTERNET-CON Gi0/1</t>
  </si>
  <si>
    <t xml:space="preserve">ISP side</t>
  </si>
  <si>
    <t xml:space="preserve">Primary-FW Gi1/4</t>
  </si>
  <si>
    <t xml:space="preserve">OUTSIDE-COMCAST</t>
  </si>
  <si>
    <t xml:space="preserve">Secondary-FW Gi1/4</t>
  </si>
  <si>
    <t xml:space="preserve">Primary-FW Gi1/5</t>
  </si>
  <si>
    <t xml:space="preserve">OUTSIDE-VERIZON</t>
  </si>
  <si>
    <t xml:space="preserve">Secondary-FW Gi1/5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</si>
</sst>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7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8" min="6" style="0" width="16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1" min="11" style="0" width="28"/>
    <col collapsed="false" customWidth="true" hidden="false" outlineLevel="0" max="12" min="12" style="0" width="17"/>
    <col collapsed="false" customWidth="true" hidden="false" outlineLevel="0" max="13" min="13" style="0" width="18"/>
    <col collapsed="false" customWidth="true" hidden="false" outlineLevel="0" max="15" min="14" style="0" width="16"/>
    <col collapsed="false" customWidth="true" hidden="false" outlineLevel="0" max="16" min="16" style="0" width="52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n">
        <f aca="false">2^(32-VALUE(MID(C2,2,2)))-2</f>
        <v>254</v>
      </c>
      <c r="J2" s="2" t="s">
        <v>24</v>
      </c>
      <c r="K2" s="2" t="s">
        <v>16</v>
      </c>
      <c r="L2" s="2" t="s">
        <v>22</v>
      </c>
      <c r="M2" s="2" t="s">
        <v>25</v>
      </c>
      <c r="N2" s="2" t="s">
        <v>21</v>
      </c>
      <c r="O2" s="2" t="s">
        <v>26</v>
      </c>
      <c r="P2" s="2" t="s">
        <v>27</v>
      </c>
    </row>
    <row r="3" customFormat="false" ht="15" hidden="false" customHeight="false" outlineLevel="0" collapsed="false">
      <c r="A3" s="2" t="s">
        <v>28</v>
      </c>
      <c r="B3" s="2" t="s">
        <v>29</v>
      </c>
      <c r="C3" s="2" t="s">
        <v>18</v>
      </c>
      <c r="D3" s="2" t="s">
        <v>19</v>
      </c>
      <c r="E3" s="2" t="s">
        <v>20</v>
      </c>
      <c r="F3" s="2" t="s">
        <v>30</v>
      </c>
      <c r="G3" s="2" t="s">
        <v>31</v>
      </c>
      <c r="H3" s="2" t="s">
        <v>32</v>
      </c>
      <c r="I3" s="2" t="n">
        <f aca="false">2^(32-VALUE(MID(C3,2,2)))-2</f>
        <v>254</v>
      </c>
      <c r="J3" s="2" t="s">
        <v>33</v>
      </c>
      <c r="K3" s="2" t="s">
        <v>28</v>
      </c>
      <c r="L3" s="2" t="s">
        <v>31</v>
      </c>
      <c r="M3" s="2" t="s">
        <v>25</v>
      </c>
      <c r="N3" s="2" t="s">
        <v>30</v>
      </c>
      <c r="O3" s="2" t="s">
        <v>34</v>
      </c>
      <c r="P3" s="2" t="s">
        <v>35</v>
      </c>
    </row>
    <row r="4" customFormat="false" ht="15" hidden="false" customHeight="false" outlineLevel="0" collapsed="false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n">
        <f aca="false">2^(32-VALUE(MID(C4,2,2)))-2</f>
        <v>30</v>
      </c>
      <c r="J4" s="2" t="s">
        <v>44</v>
      </c>
      <c r="K4" s="2" t="s">
        <v>36</v>
      </c>
      <c r="L4" s="2" t="s">
        <v>42</v>
      </c>
      <c r="M4" s="2" t="s">
        <v>25</v>
      </c>
      <c r="N4" s="2" t="s">
        <v>41</v>
      </c>
      <c r="O4" s="2" t="s">
        <v>45</v>
      </c>
      <c r="P4" s="2" t="s">
        <v>46</v>
      </c>
    </row>
    <row r="5" customFormat="false" ht="15" hidden="false" customHeight="false" outlineLevel="0" collapsed="false">
      <c r="A5" s="2" t="s">
        <v>47</v>
      </c>
      <c r="B5" s="2" t="s">
        <v>48</v>
      </c>
      <c r="C5" s="2" t="s">
        <v>38</v>
      </c>
      <c r="D5" s="2" t="s">
        <v>39</v>
      </c>
      <c r="E5" s="2" t="s">
        <v>40</v>
      </c>
      <c r="F5" s="2" t="s">
        <v>49</v>
      </c>
      <c r="G5" s="2" t="s">
        <v>50</v>
      </c>
      <c r="H5" s="2" t="s">
        <v>51</v>
      </c>
      <c r="I5" s="2" t="n">
        <f aca="false">2^(32-VALUE(MID(C5,2,2)))-2</f>
        <v>30</v>
      </c>
      <c r="J5" s="2" t="s">
        <v>52</v>
      </c>
      <c r="K5" s="2" t="s">
        <v>47</v>
      </c>
      <c r="L5" s="2" t="s">
        <v>50</v>
      </c>
      <c r="M5" s="2" t="s">
        <v>25</v>
      </c>
      <c r="N5" s="2" t="s">
        <v>49</v>
      </c>
      <c r="O5" s="2" t="s">
        <v>53</v>
      </c>
      <c r="P5" s="2" t="s">
        <v>54</v>
      </c>
    </row>
    <row r="6" customFormat="false" ht="15" hidden="false" customHeight="false" outlineLevel="0" collapsed="false">
      <c r="A6" s="2" t="s">
        <v>55</v>
      </c>
      <c r="B6" s="2" t="s">
        <v>56</v>
      </c>
      <c r="C6" s="2" t="s">
        <v>38</v>
      </c>
      <c r="D6" s="2" t="s">
        <v>39</v>
      </c>
      <c r="E6" s="2" t="s">
        <v>40</v>
      </c>
      <c r="F6" s="2" t="s">
        <v>57</v>
      </c>
      <c r="G6" s="2" t="s">
        <v>58</v>
      </c>
      <c r="H6" s="2" t="s">
        <v>59</v>
      </c>
      <c r="I6" s="2" t="n">
        <f aca="false">2^(32-VALUE(MID(C6,2,2)))-2</f>
        <v>30</v>
      </c>
      <c r="J6" s="2" t="s">
        <v>60</v>
      </c>
      <c r="K6" s="2" t="s">
        <v>55</v>
      </c>
      <c r="L6" s="2" t="s">
        <v>58</v>
      </c>
      <c r="M6" s="2" t="s">
        <v>25</v>
      </c>
      <c r="N6" s="2" t="s">
        <v>57</v>
      </c>
      <c r="O6" s="2" t="s">
        <v>61</v>
      </c>
      <c r="P6" s="2" t="s">
        <v>62</v>
      </c>
    </row>
    <row r="7" customFormat="false" ht="15" hidden="false" customHeight="false" outlineLevel="0" collapsed="false">
      <c r="A7" s="2" t="s">
        <v>63</v>
      </c>
      <c r="B7" s="2" t="s">
        <v>64</v>
      </c>
      <c r="C7" s="2" t="s">
        <v>38</v>
      </c>
      <c r="D7" s="2" t="s">
        <v>39</v>
      </c>
      <c r="E7" s="2" t="s">
        <v>40</v>
      </c>
      <c r="F7" s="2" t="s">
        <v>65</v>
      </c>
      <c r="G7" s="2" t="s">
        <v>66</v>
      </c>
      <c r="H7" s="2" t="s">
        <v>67</v>
      </c>
      <c r="I7" s="2" t="n">
        <f aca="false">2^(32-VALUE(MID(C7,2,2)))-2</f>
        <v>30</v>
      </c>
      <c r="J7" s="2" t="s">
        <v>68</v>
      </c>
      <c r="K7" s="2" t="s">
        <v>63</v>
      </c>
      <c r="L7" s="2" t="s">
        <v>66</v>
      </c>
      <c r="M7" s="2" t="s">
        <v>25</v>
      </c>
      <c r="N7" s="2" t="s">
        <v>65</v>
      </c>
      <c r="O7" s="2" t="s">
        <v>69</v>
      </c>
      <c r="P7" s="2" t="s">
        <v>70</v>
      </c>
    </row>
    <row r="8" customFormat="false" ht="15" hidden="false" customHeight="false" outlineLevel="0" collapsed="false">
      <c r="A8" s="2" t="s">
        <v>71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  <c r="H8" s="2" t="s">
        <v>78</v>
      </c>
      <c r="I8" s="2" t="n">
        <f aca="false">2^(32-VALUE(MID(C8,2,2)))-2</f>
        <v>6</v>
      </c>
      <c r="J8" s="2" t="s">
        <v>79</v>
      </c>
      <c r="K8" s="2" t="s">
        <v>71</v>
      </c>
      <c r="L8" s="2" t="s">
        <v>80</v>
      </c>
      <c r="M8" s="2" t="s">
        <v>25</v>
      </c>
      <c r="N8" s="2" t="s">
        <v>81</v>
      </c>
      <c r="O8" s="2" t="s">
        <v>82</v>
      </c>
      <c r="P8" s="2" t="s">
        <v>83</v>
      </c>
    </row>
    <row r="9" customFormat="false" ht="15" hidden="false" customHeight="false" outlineLevel="0" collapsed="false">
      <c r="A9" s="2" t="s">
        <v>84</v>
      </c>
      <c r="B9" s="2" t="s">
        <v>85</v>
      </c>
      <c r="C9" s="2" t="s">
        <v>73</v>
      </c>
      <c r="D9" s="2" t="s">
        <v>74</v>
      </c>
      <c r="E9" s="2" t="s">
        <v>75</v>
      </c>
      <c r="F9" s="2" t="s">
        <v>86</v>
      </c>
      <c r="G9" s="2" t="s">
        <v>87</v>
      </c>
      <c r="H9" s="2" t="s">
        <v>88</v>
      </c>
      <c r="I9" s="2" t="n">
        <f aca="false">2^(32-VALUE(MID(C9,2,2)))-2</f>
        <v>6</v>
      </c>
      <c r="J9" s="2" t="s">
        <v>89</v>
      </c>
      <c r="K9" s="2" t="s">
        <v>84</v>
      </c>
      <c r="L9" s="2" t="s">
        <v>90</v>
      </c>
      <c r="M9" s="2" t="s">
        <v>25</v>
      </c>
      <c r="N9" s="2" t="s">
        <v>91</v>
      </c>
      <c r="O9" s="2" t="s">
        <v>92</v>
      </c>
      <c r="P9" s="2" t="s">
        <v>93</v>
      </c>
    </row>
    <row r="10" customFormat="false" ht="23.85" hidden="false" customHeight="false" outlineLevel="0" collapsed="false">
      <c r="A10" s="2" t="s">
        <v>94</v>
      </c>
      <c r="B10" s="2" t="s">
        <v>95</v>
      </c>
      <c r="C10" s="2" t="s">
        <v>73</v>
      </c>
      <c r="D10" s="2" t="s">
        <v>74</v>
      </c>
      <c r="E10" s="2" t="s">
        <v>75</v>
      </c>
      <c r="F10" s="2" t="s">
        <v>96</v>
      </c>
      <c r="G10" s="2" t="s">
        <v>97</v>
      </c>
      <c r="H10" s="2" t="s">
        <v>98</v>
      </c>
      <c r="I10" s="2" t="n">
        <f aca="false">2^(32-VALUE(MID(C10,2,2)))-2</f>
        <v>6</v>
      </c>
      <c r="J10" s="2" t="s">
        <v>99</v>
      </c>
      <c r="K10" s="2" t="s">
        <v>100</v>
      </c>
      <c r="L10" s="2" t="s">
        <v>101</v>
      </c>
      <c r="M10" s="2" t="s">
        <v>102</v>
      </c>
      <c r="N10" s="2" t="s">
        <v>101</v>
      </c>
      <c r="O10" s="2" t="s">
        <v>101</v>
      </c>
      <c r="P10" s="2" t="s">
        <v>103</v>
      </c>
    </row>
    <row r="11" customFormat="false" ht="15" hidden="false" customHeight="false" outlineLevel="0" collapsed="false">
      <c r="A11" s="2" t="s">
        <v>104</v>
      </c>
      <c r="B11" s="2" t="s">
        <v>105</v>
      </c>
      <c r="C11" s="2" t="s">
        <v>18</v>
      </c>
      <c r="D11" s="2" t="s">
        <v>19</v>
      </c>
      <c r="E11" s="2" t="s">
        <v>20</v>
      </c>
      <c r="F11" s="2" t="s">
        <v>106</v>
      </c>
      <c r="G11" s="2" t="s">
        <v>107</v>
      </c>
      <c r="H11" s="2" t="s">
        <v>108</v>
      </c>
      <c r="I11" s="2" t="n">
        <f aca="false">2^(32-VALUE(MID(C11,2,2)))-2</f>
        <v>254</v>
      </c>
      <c r="J11" s="2" t="s">
        <v>109</v>
      </c>
      <c r="K11" s="2" t="s">
        <v>110</v>
      </c>
      <c r="L11" s="2" t="s">
        <v>106</v>
      </c>
      <c r="M11" s="2" t="s">
        <v>111</v>
      </c>
      <c r="N11" s="2" t="s">
        <v>101</v>
      </c>
      <c r="O11" s="2" t="s">
        <v>101</v>
      </c>
      <c r="P11" s="2" t="s">
        <v>112</v>
      </c>
    </row>
    <row r="12" customFormat="false" ht="15" hidden="false" customHeight="false" outlineLevel="0" collapsed="false">
      <c r="A12" s="2" t="s">
        <v>113</v>
      </c>
      <c r="B12" s="2" t="s">
        <v>114</v>
      </c>
      <c r="C12" s="2" t="s">
        <v>73</v>
      </c>
      <c r="D12" s="2" t="s">
        <v>74</v>
      </c>
      <c r="E12" s="2" t="s">
        <v>75</v>
      </c>
      <c r="F12" s="2" t="s">
        <v>115</v>
      </c>
      <c r="G12" s="2" t="s">
        <v>116</v>
      </c>
      <c r="H12" s="2" t="s">
        <v>117</v>
      </c>
      <c r="I12" s="2" t="n">
        <f aca="false">2^(32-VALUE(MID(C12,2,2)))-2</f>
        <v>6</v>
      </c>
      <c r="J12" s="2" t="s">
        <v>118</v>
      </c>
      <c r="K12" s="2" t="s">
        <v>119</v>
      </c>
      <c r="L12" s="2" t="s">
        <v>115</v>
      </c>
      <c r="M12" s="2" t="s">
        <v>120</v>
      </c>
      <c r="N12" s="2" t="s">
        <v>101</v>
      </c>
      <c r="O12" s="2" t="s">
        <v>101</v>
      </c>
      <c r="P12" s="2" t="s">
        <v>121</v>
      </c>
    </row>
    <row r="13" customFormat="false" ht="15" hidden="false" customHeight="false" outlineLevel="0" collapsed="false">
      <c r="A13" s="2" t="s">
        <v>122</v>
      </c>
      <c r="B13" s="2" t="s">
        <v>123</v>
      </c>
      <c r="C13" s="2" t="s">
        <v>73</v>
      </c>
      <c r="D13" s="2" t="s">
        <v>74</v>
      </c>
      <c r="E13" s="2" t="s">
        <v>75</v>
      </c>
      <c r="F13" s="2" t="s">
        <v>124</v>
      </c>
      <c r="G13" s="2" t="s">
        <v>125</v>
      </c>
      <c r="H13" s="2" t="s">
        <v>126</v>
      </c>
      <c r="I13" s="2" t="n">
        <f aca="false">2^(32-VALUE(MID(C13,2,2)))-2</f>
        <v>6</v>
      </c>
      <c r="J13" s="2" t="s">
        <v>127</v>
      </c>
      <c r="K13" s="2" t="s">
        <v>128</v>
      </c>
      <c r="L13" s="2" t="s">
        <v>124</v>
      </c>
      <c r="M13" s="2" t="s">
        <v>129</v>
      </c>
      <c r="N13" s="2" t="s">
        <v>101</v>
      </c>
      <c r="O13" s="2" t="s">
        <v>101</v>
      </c>
      <c r="P13" s="2" t="s">
        <v>130</v>
      </c>
    </row>
    <row r="14" customFormat="false" ht="15" hidden="false" customHeight="false" outlineLevel="0" collapsed="false">
      <c r="A14" s="2" t="s">
        <v>131</v>
      </c>
      <c r="B14" s="2" t="s">
        <v>132</v>
      </c>
      <c r="C14" s="2" t="s">
        <v>18</v>
      </c>
      <c r="D14" s="2" t="s">
        <v>19</v>
      </c>
      <c r="E14" s="2" t="s">
        <v>20</v>
      </c>
      <c r="F14" s="2" t="s">
        <v>133</v>
      </c>
      <c r="G14" s="2" t="s">
        <v>134</v>
      </c>
      <c r="H14" s="2" t="s">
        <v>135</v>
      </c>
      <c r="I14" s="2" t="n">
        <f aca="false">2^(32-VALUE(MID(C14,2,2)))-2</f>
        <v>254</v>
      </c>
      <c r="J14" s="2" t="s">
        <v>101</v>
      </c>
      <c r="K14" s="2" t="s">
        <v>136</v>
      </c>
      <c r="L14" s="2" t="s">
        <v>133</v>
      </c>
      <c r="M14" s="2" t="s">
        <v>137</v>
      </c>
      <c r="N14" s="2" t="s">
        <v>101</v>
      </c>
      <c r="O14" s="2" t="s">
        <v>101</v>
      </c>
      <c r="P14" s="2" t="s">
        <v>138</v>
      </c>
    </row>
    <row r="15" customFormat="false" ht="15" hidden="false" customHeight="false" outlineLevel="0" collapsed="false">
      <c r="A15" s="2" t="s">
        <v>139</v>
      </c>
      <c r="B15" s="2" t="s">
        <v>140</v>
      </c>
      <c r="C15" s="2" t="s">
        <v>18</v>
      </c>
      <c r="D15" s="2" t="s">
        <v>19</v>
      </c>
      <c r="E15" s="2" t="s">
        <v>20</v>
      </c>
      <c r="F15" s="2" t="s">
        <v>141</v>
      </c>
      <c r="G15" s="2" t="s">
        <v>142</v>
      </c>
      <c r="H15" s="2" t="s">
        <v>143</v>
      </c>
      <c r="I15" s="2" t="n">
        <f aca="false">2^(32-VALUE(MID(C15,2,2)))-2</f>
        <v>254</v>
      </c>
      <c r="J15" s="2" t="s">
        <v>101</v>
      </c>
      <c r="K15" s="2" t="s">
        <v>136</v>
      </c>
      <c r="L15" s="2" t="s">
        <v>141</v>
      </c>
      <c r="M15" s="2" t="s">
        <v>144</v>
      </c>
      <c r="N15" s="2" t="s">
        <v>101</v>
      </c>
      <c r="O15" s="2" t="s">
        <v>101</v>
      </c>
      <c r="P15" s="2" t="s">
        <v>145</v>
      </c>
    </row>
    <row r="16" customFormat="false" ht="15" hidden="false" customHeight="false" outlineLevel="0" collapsed="false">
      <c r="A16" s="2" t="s">
        <v>146</v>
      </c>
      <c r="B16" s="2" t="s">
        <v>147</v>
      </c>
      <c r="C16" s="2" t="s">
        <v>148</v>
      </c>
      <c r="D16" s="2" t="s">
        <v>149</v>
      </c>
      <c r="E16" s="2" t="s">
        <v>150</v>
      </c>
      <c r="F16" s="2" t="s">
        <v>151</v>
      </c>
      <c r="G16" s="2" t="s">
        <v>152</v>
      </c>
      <c r="H16" s="2" t="s">
        <v>153</v>
      </c>
      <c r="I16" s="2" t="n">
        <f aca="false">2^(32-VALUE(MID(C16,2,2)))-2</f>
        <v>2</v>
      </c>
      <c r="J16" s="2" t="s">
        <v>101</v>
      </c>
      <c r="K16" s="2" t="s">
        <v>136</v>
      </c>
      <c r="L16" s="2" t="s">
        <v>101</v>
      </c>
      <c r="M16" s="2" t="s">
        <v>154</v>
      </c>
      <c r="N16" s="2" t="s">
        <v>101</v>
      </c>
      <c r="O16" s="2" t="s">
        <v>101</v>
      </c>
      <c r="P16" s="2" t="s">
        <v>155</v>
      </c>
    </row>
    <row r="17" customFormat="false" ht="15" hidden="false" customHeight="false" outlineLevel="0" collapsed="false">
      <c r="A17" s="2" t="s">
        <v>156</v>
      </c>
      <c r="B17" s="2" t="s">
        <v>157</v>
      </c>
      <c r="C17" s="2" t="s">
        <v>148</v>
      </c>
      <c r="D17" s="2" t="s">
        <v>149</v>
      </c>
      <c r="E17" s="2" t="s">
        <v>150</v>
      </c>
      <c r="F17" s="2" t="s">
        <v>158</v>
      </c>
      <c r="G17" s="2" t="s">
        <v>159</v>
      </c>
      <c r="H17" s="2" t="s">
        <v>160</v>
      </c>
      <c r="I17" s="2" t="n">
        <f aca="false">2^(32-VALUE(MID(C17,2,2)))-2</f>
        <v>2</v>
      </c>
      <c r="J17" s="2" t="s">
        <v>101</v>
      </c>
      <c r="K17" s="2" t="s">
        <v>136</v>
      </c>
      <c r="L17" s="2" t="s">
        <v>101</v>
      </c>
      <c r="M17" s="2" t="s">
        <v>154</v>
      </c>
      <c r="N17" s="2" t="s">
        <v>101</v>
      </c>
      <c r="O17" s="2" t="s">
        <v>101</v>
      </c>
      <c r="P17" s="2" t="s">
        <v>161</v>
      </c>
    </row>
    <row r="19" customFormat="false" ht="15" hidden="false" customHeight="false" outlineLevel="0" collapsed="false">
      <c r="A19" s="3" t="s">
        <v>162</v>
      </c>
    </row>
    <row r="20" customFormat="false" ht="15" hidden="false" customHeight="false" outlineLevel="0" collapsed="false">
      <c r="A20" s="4" t="s">
        <v>163</v>
      </c>
    </row>
    <row r="21" customFormat="false" ht="15" hidden="false" customHeight="false" outlineLevel="0" collapsed="false">
      <c r="A21" s="4" t="s">
        <v>164</v>
      </c>
    </row>
    <row r="22" customFormat="false" ht="15" hidden="false" customHeight="false" outlineLevel="0" collapsed="false">
      <c r="A22" s="4" t="s">
        <v>165</v>
      </c>
    </row>
    <row r="23" customFormat="false" ht="15" hidden="false" customHeight="false" outlineLevel="0" collapsed="false">
      <c r="A23" s="4" t="s">
        <v>166</v>
      </c>
    </row>
  </sheetData>
  <autoFilter ref="A1:P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26"/>
    <col collapsed="false" customWidth="true" hidden="false" outlineLevel="0" max="7" min="7" style="0" width="16"/>
    <col collapsed="false" customWidth="true" hidden="false" outlineLevel="0" max="8" min="8" style="0" width="50"/>
  </cols>
  <sheetData>
    <row r="1" customFormat="false" ht="23.85" hidden="false" customHeight="false" outlineLevel="0" collapsed="false">
      <c r="A1" s="1" t="s">
        <v>9</v>
      </c>
      <c r="B1" s="1" t="s">
        <v>0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162</v>
      </c>
    </row>
    <row r="2" customFormat="false" ht="15" hidden="false" customHeight="false" outlineLevel="0" collapsed="false">
      <c r="A2" s="2" t="s">
        <v>24</v>
      </c>
      <c r="B2" s="2" t="s">
        <v>16</v>
      </c>
      <c r="C2" s="2" t="s">
        <v>172</v>
      </c>
      <c r="D2" s="2" t="s">
        <v>21</v>
      </c>
      <c r="E2" s="2" t="s">
        <v>26</v>
      </c>
      <c r="F2" s="2" t="s">
        <v>22</v>
      </c>
      <c r="G2" s="2" t="s">
        <v>173</v>
      </c>
      <c r="H2" s="2" t="s">
        <v>174</v>
      </c>
    </row>
    <row r="3" customFormat="false" ht="15" hidden="false" customHeight="false" outlineLevel="0" collapsed="false">
      <c r="A3" s="2" t="s">
        <v>33</v>
      </c>
      <c r="B3" s="2" t="s">
        <v>28</v>
      </c>
      <c r="C3" s="2" t="s">
        <v>175</v>
      </c>
      <c r="D3" s="2" t="s">
        <v>30</v>
      </c>
      <c r="E3" s="2" t="s">
        <v>34</v>
      </c>
      <c r="F3" s="2" t="s">
        <v>31</v>
      </c>
      <c r="G3" s="2" t="s">
        <v>173</v>
      </c>
      <c r="H3" s="2" t="s">
        <v>176</v>
      </c>
    </row>
    <row r="4" customFormat="false" ht="15" hidden="false" customHeight="false" outlineLevel="0" collapsed="false">
      <c r="A4" s="2" t="s">
        <v>44</v>
      </c>
      <c r="B4" s="2" t="s">
        <v>36</v>
      </c>
      <c r="C4" s="2" t="s">
        <v>177</v>
      </c>
      <c r="D4" s="2" t="s">
        <v>41</v>
      </c>
      <c r="E4" s="2" t="s">
        <v>45</v>
      </c>
      <c r="F4" s="2" t="s">
        <v>42</v>
      </c>
      <c r="G4" s="2" t="s">
        <v>173</v>
      </c>
      <c r="H4" s="2" t="s">
        <v>178</v>
      </c>
    </row>
    <row r="5" customFormat="false" ht="15" hidden="false" customHeight="false" outlineLevel="0" collapsed="false">
      <c r="A5" s="2" t="s">
        <v>52</v>
      </c>
      <c r="B5" s="2" t="s">
        <v>47</v>
      </c>
      <c r="C5" s="2" t="s">
        <v>179</v>
      </c>
      <c r="D5" s="2" t="s">
        <v>49</v>
      </c>
      <c r="E5" s="2" t="s">
        <v>53</v>
      </c>
      <c r="F5" s="2" t="s">
        <v>50</v>
      </c>
      <c r="G5" s="2" t="s">
        <v>173</v>
      </c>
      <c r="H5" s="2" t="s">
        <v>180</v>
      </c>
    </row>
    <row r="6" customFormat="false" ht="15" hidden="false" customHeight="false" outlineLevel="0" collapsed="false">
      <c r="A6" s="2" t="s">
        <v>181</v>
      </c>
      <c r="B6" s="2" t="s">
        <v>182</v>
      </c>
      <c r="C6" s="2" t="s">
        <v>136</v>
      </c>
      <c r="D6" s="2" t="s">
        <v>136</v>
      </c>
      <c r="E6" s="2" t="s">
        <v>136</v>
      </c>
      <c r="F6" s="2" t="s">
        <v>136</v>
      </c>
      <c r="G6" s="2" t="s">
        <v>101</v>
      </c>
      <c r="H6" s="2" t="s">
        <v>183</v>
      </c>
    </row>
    <row r="7" customFormat="false" ht="15" hidden="false" customHeight="false" outlineLevel="0" collapsed="false">
      <c r="A7" s="2" t="s">
        <v>68</v>
      </c>
      <c r="B7" s="2" t="s">
        <v>63</v>
      </c>
      <c r="C7" s="2" t="s">
        <v>184</v>
      </c>
      <c r="D7" s="2" t="s">
        <v>65</v>
      </c>
      <c r="E7" s="2" t="s">
        <v>69</v>
      </c>
      <c r="F7" s="2" t="s">
        <v>66</v>
      </c>
      <c r="G7" s="2" t="s">
        <v>173</v>
      </c>
      <c r="H7" s="2" t="s">
        <v>185</v>
      </c>
    </row>
    <row r="8" customFormat="false" ht="15" hidden="false" customHeight="false" outlineLevel="0" collapsed="false">
      <c r="A8" s="2" t="s">
        <v>109</v>
      </c>
      <c r="B8" s="2" t="s">
        <v>104</v>
      </c>
      <c r="C8" s="2" t="s">
        <v>186</v>
      </c>
      <c r="D8" s="2" t="s">
        <v>136</v>
      </c>
      <c r="E8" s="2" t="s">
        <v>136</v>
      </c>
      <c r="F8" s="2" t="s">
        <v>187</v>
      </c>
      <c r="G8" s="2" t="s">
        <v>101</v>
      </c>
      <c r="H8" s="2" t="s">
        <v>188</v>
      </c>
    </row>
    <row r="9" customFormat="false" ht="15" hidden="false" customHeight="false" outlineLevel="0" collapsed="false">
      <c r="A9" s="2" t="s">
        <v>99</v>
      </c>
      <c r="B9" s="2" t="s">
        <v>189</v>
      </c>
      <c r="C9" s="2" t="s">
        <v>190</v>
      </c>
      <c r="D9" s="2" t="s">
        <v>136</v>
      </c>
      <c r="E9" s="2" t="s">
        <v>136</v>
      </c>
      <c r="F9" s="2" t="s">
        <v>136</v>
      </c>
      <c r="G9" s="2" t="s">
        <v>101</v>
      </c>
      <c r="H9" s="2" t="s">
        <v>191</v>
      </c>
    </row>
    <row r="10" customFormat="false" ht="15" hidden="false" customHeight="false" outlineLevel="0" collapsed="false">
      <c r="A10" s="2" t="s">
        <v>79</v>
      </c>
      <c r="B10" s="2" t="s">
        <v>71</v>
      </c>
      <c r="C10" s="2" t="s">
        <v>192</v>
      </c>
      <c r="D10" s="2" t="s">
        <v>81</v>
      </c>
      <c r="E10" s="2" t="s">
        <v>82</v>
      </c>
      <c r="F10" s="2" t="s">
        <v>80</v>
      </c>
      <c r="G10" s="2" t="s">
        <v>173</v>
      </c>
      <c r="H10" s="2" t="s">
        <v>193</v>
      </c>
    </row>
    <row r="11" customFormat="false" ht="15" hidden="false" customHeight="false" outlineLevel="0" collapsed="false">
      <c r="A11" s="2" t="s">
        <v>89</v>
      </c>
      <c r="B11" s="2" t="s">
        <v>84</v>
      </c>
      <c r="C11" s="2" t="s">
        <v>194</v>
      </c>
      <c r="D11" s="2" t="s">
        <v>91</v>
      </c>
      <c r="E11" s="2" t="s">
        <v>92</v>
      </c>
      <c r="F11" s="2" t="s">
        <v>90</v>
      </c>
      <c r="G11" s="2" t="s">
        <v>195</v>
      </c>
      <c r="H11" s="2" t="s">
        <v>193</v>
      </c>
    </row>
    <row r="12" customFormat="false" ht="15" hidden="false" customHeight="false" outlineLevel="0" collapsed="false">
      <c r="A12" s="2" t="s">
        <v>60</v>
      </c>
      <c r="B12" s="2" t="s">
        <v>55</v>
      </c>
      <c r="C12" s="2" t="s">
        <v>196</v>
      </c>
      <c r="D12" s="2" t="s">
        <v>57</v>
      </c>
      <c r="E12" s="2" t="s">
        <v>61</v>
      </c>
      <c r="F12" s="2" t="s">
        <v>58</v>
      </c>
      <c r="G12" s="2" t="s">
        <v>173</v>
      </c>
      <c r="H12" s="2" t="s">
        <v>62</v>
      </c>
    </row>
    <row r="13" customFormat="false" ht="15" hidden="false" customHeight="false" outlineLevel="0" collapsed="false">
      <c r="A13" s="2" t="s">
        <v>118</v>
      </c>
      <c r="B13" s="2" t="s">
        <v>197</v>
      </c>
      <c r="C13" s="2" t="s">
        <v>198</v>
      </c>
      <c r="D13" s="2" t="s">
        <v>136</v>
      </c>
      <c r="E13" s="2" t="s">
        <v>136</v>
      </c>
      <c r="F13" s="2" t="s">
        <v>199</v>
      </c>
      <c r="G13" s="2" t="s">
        <v>101</v>
      </c>
      <c r="H13" s="2" t="s">
        <v>200</v>
      </c>
    </row>
    <row r="14" customFormat="false" ht="15" hidden="false" customHeight="false" outlineLevel="0" collapsed="false">
      <c r="A14" s="2" t="s">
        <v>127</v>
      </c>
      <c r="B14" s="2" t="s">
        <v>201</v>
      </c>
      <c r="C14" s="2" t="s">
        <v>202</v>
      </c>
      <c r="D14" s="2" t="s">
        <v>136</v>
      </c>
      <c r="E14" s="2" t="s">
        <v>136</v>
      </c>
      <c r="F14" s="2" t="s">
        <v>203</v>
      </c>
      <c r="G14" s="2" t="s">
        <v>101</v>
      </c>
      <c r="H14" s="2" t="s">
        <v>204</v>
      </c>
    </row>
  </sheetData>
  <autoFilter ref="A1:H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4" min="3" style="0" width="16"/>
    <col collapsed="false" customWidth="true" hidden="false" outlineLevel="0" max="5" min="5" style="0" width="7"/>
    <col collapsed="false" customWidth="true" hidden="false" outlineLevel="0" max="6" min="6" style="0" width="20"/>
    <col collapsed="false" customWidth="true" hidden="false" outlineLevel="0" max="7" min="7" style="0" width="24"/>
    <col collapsed="false" customWidth="true" hidden="false" outlineLevel="0" max="8" min="8" style="0" width="16"/>
    <col collapsed="false" customWidth="true" hidden="false" outlineLevel="0" max="9" min="9" style="0" width="60"/>
    <col collapsed="false" customWidth="true" hidden="false" outlineLevel="0" max="10" min="10" style="0" width="18"/>
  </cols>
  <sheetData>
    <row r="1" customFormat="false" ht="15" hidden="false" customHeight="false" outlineLevel="0" collapsed="false">
      <c r="A1" s="1" t="s">
        <v>205</v>
      </c>
      <c r="B1" s="1" t="s">
        <v>206</v>
      </c>
      <c r="C1" s="1" t="s">
        <v>207</v>
      </c>
      <c r="D1" s="1" t="s">
        <v>3</v>
      </c>
      <c r="E1" s="1" t="s">
        <v>2</v>
      </c>
      <c r="F1" s="1" t="s">
        <v>208</v>
      </c>
      <c r="G1" s="1" t="s">
        <v>9</v>
      </c>
      <c r="H1" s="1" t="s">
        <v>209</v>
      </c>
      <c r="I1" s="1" t="s">
        <v>210</v>
      </c>
      <c r="J1" s="1" t="s">
        <v>211</v>
      </c>
    </row>
    <row r="2" customFormat="false" ht="15" hidden="false" customHeight="false" outlineLevel="0" collapsed="false">
      <c r="A2" s="2" t="s">
        <v>212</v>
      </c>
      <c r="B2" s="2" t="s">
        <v>213</v>
      </c>
      <c r="C2" s="2" t="s">
        <v>76</v>
      </c>
      <c r="D2" s="2" t="s">
        <v>74</v>
      </c>
      <c r="E2" s="2" t="s">
        <v>73</v>
      </c>
      <c r="F2" s="2" t="s">
        <v>71</v>
      </c>
      <c r="G2" s="2" t="s">
        <v>79</v>
      </c>
      <c r="H2" s="2" t="s">
        <v>214</v>
      </c>
      <c r="I2" s="2" t="s">
        <v>215</v>
      </c>
      <c r="J2" s="2"/>
    </row>
    <row r="3" customFormat="false" ht="15" hidden="false" customHeight="false" outlineLevel="0" collapsed="false">
      <c r="A3" s="2" t="s">
        <v>216</v>
      </c>
      <c r="B3" s="2" t="s">
        <v>213</v>
      </c>
      <c r="C3" s="2" t="s">
        <v>217</v>
      </c>
      <c r="D3" s="2" t="s">
        <v>74</v>
      </c>
      <c r="E3" s="2" t="s">
        <v>73</v>
      </c>
      <c r="F3" s="2" t="s">
        <v>71</v>
      </c>
      <c r="G3" s="2" t="s">
        <v>79</v>
      </c>
      <c r="H3" s="2" t="s">
        <v>214</v>
      </c>
      <c r="I3" s="2" t="s">
        <v>218</v>
      </c>
      <c r="J3" s="2"/>
    </row>
    <row r="4" customFormat="false" ht="15" hidden="false" customHeight="false" outlineLevel="0" collapsed="false">
      <c r="A4" s="2" t="s">
        <v>219</v>
      </c>
      <c r="B4" s="2" t="s">
        <v>220</v>
      </c>
      <c r="C4" s="2" t="s">
        <v>81</v>
      </c>
      <c r="D4" s="2" t="s">
        <v>74</v>
      </c>
      <c r="E4" s="2" t="s">
        <v>73</v>
      </c>
      <c r="F4" s="2" t="s">
        <v>71</v>
      </c>
      <c r="G4" s="2" t="s">
        <v>79</v>
      </c>
      <c r="H4" s="2" t="s">
        <v>214</v>
      </c>
      <c r="I4" s="2" t="s">
        <v>221</v>
      </c>
      <c r="J4" s="2"/>
    </row>
    <row r="5" customFormat="false" ht="15" hidden="false" customHeight="false" outlineLevel="0" collapsed="false">
      <c r="A5" s="2" t="s">
        <v>222</v>
      </c>
      <c r="B5" s="2" t="s">
        <v>220</v>
      </c>
      <c r="C5" s="2" t="s">
        <v>82</v>
      </c>
      <c r="D5" s="2" t="s">
        <v>74</v>
      </c>
      <c r="E5" s="2" t="s">
        <v>73</v>
      </c>
      <c r="F5" s="2" t="s">
        <v>71</v>
      </c>
      <c r="G5" s="2" t="s">
        <v>79</v>
      </c>
      <c r="H5" s="2" t="s">
        <v>214</v>
      </c>
      <c r="I5" s="2" t="s">
        <v>221</v>
      </c>
      <c r="J5" s="2"/>
    </row>
    <row r="6" customFormat="false" ht="23.85" hidden="false" customHeight="false" outlineLevel="0" collapsed="false">
      <c r="A6" s="2" t="s">
        <v>223</v>
      </c>
      <c r="B6" s="2" t="s">
        <v>224</v>
      </c>
      <c r="C6" s="2" t="s">
        <v>80</v>
      </c>
      <c r="D6" s="2" t="s">
        <v>74</v>
      </c>
      <c r="E6" s="2" t="s">
        <v>73</v>
      </c>
      <c r="F6" s="2" t="s">
        <v>71</v>
      </c>
      <c r="G6" s="2" t="s">
        <v>79</v>
      </c>
      <c r="H6" s="2" t="s">
        <v>214</v>
      </c>
      <c r="I6" s="2" t="s">
        <v>225</v>
      </c>
      <c r="J6" s="2" t="s">
        <v>226</v>
      </c>
    </row>
    <row r="7" customFormat="false" ht="15" hidden="false" customHeight="false" outlineLevel="0" collapsed="false">
      <c r="A7" s="2" t="s">
        <v>212</v>
      </c>
      <c r="B7" s="2" t="s">
        <v>227</v>
      </c>
      <c r="C7" s="2" t="s">
        <v>86</v>
      </c>
      <c r="D7" s="2" t="s">
        <v>74</v>
      </c>
      <c r="E7" s="2" t="s">
        <v>73</v>
      </c>
      <c r="F7" s="2" t="s">
        <v>84</v>
      </c>
      <c r="G7" s="2" t="s">
        <v>89</v>
      </c>
      <c r="H7" s="2" t="s">
        <v>214</v>
      </c>
      <c r="I7" s="2" t="s">
        <v>228</v>
      </c>
      <c r="J7" s="2"/>
    </row>
    <row r="8" customFormat="false" ht="15" hidden="false" customHeight="false" outlineLevel="0" collapsed="false">
      <c r="A8" s="2" t="s">
        <v>216</v>
      </c>
      <c r="B8" s="2" t="s">
        <v>227</v>
      </c>
      <c r="C8" s="2" t="s">
        <v>229</v>
      </c>
      <c r="D8" s="2" t="s">
        <v>74</v>
      </c>
      <c r="E8" s="2" t="s">
        <v>73</v>
      </c>
      <c r="F8" s="2" t="s">
        <v>84</v>
      </c>
      <c r="G8" s="2" t="s">
        <v>89</v>
      </c>
      <c r="H8" s="2" t="s">
        <v>214</v>
      </c>
      <c r="I8" s="2" t="s">
        <v>230</v>
      </c>
      <c r="J8" s="2"/>
    </row>
    <row r="9" customFormat="false" ht="15" hidden="false" customHeight="false" outlineLevel="0" collapsed="false">
      <c r="A9" s="2" t="s">
        <v>219</v>
      </c>
      <c r="B9" s="2" t="s">
        <v>231</v>
      </c>
      <c r="C9" s="2" t="s">
        <v>91</v>
      </c>
      <c r="D9" s="2" t="s">
        <v>74</v>
      </c>
      <c r="E9" s="2" t="s">
        <v>73</v>
      </c>
      <c r="F9" s="2" t="s">
        <v>84</v>
      </c>
      <c r="G9" s="2" t="s">
        <v>89</v>
      </c>
      <c r="H9" s="2" t="s">
        <v>214</v>
      </c>
      <c r="I9" s="2" t="s">
        <v>232</v>
      </c>
      <c r="J9" s="2"/>
    </row>
    <row r="10" customFormat="false" ht="15" hidden="false" customHeight="false" outlineLevel="0" collapsed="false">
      <c r="A10" s="2" t="s">
        <v>222</v>
      </c>
      <c r="B10" s="2" t="s">
        <v>231</v>
      </c>
      <c r="C10" s="2" t="s">
        <v>92</v>
      </c>
      <c r="D10" s="2" t="s">
        <v>74</v>
      </c>
      <c r="E10" s="2" t="s">
        <v>73</v>
      </c>
      <c r="F10" s="2" t="s">
        <v>84</v>
      </c>
      <c r="G10" s="2" t="s">
        <v>89</v>
      </c>
      <c r="H10" s="2" t="s">
        <v>214</v>
      </c>
      <c r="I10" s="2" t="s">
        <v>232</v>
      </c>
      <c r="J10" s="2"/>
    </row>
    <row r="11" customFormat="false" ht="23.85" hidden="false" customHeight="false" outlineLevel="0" collapsed="false">
      <c r="A11" s="2" t="s">
        <v>223</v>
      </c>
      <c r="B11" s="2" t="s">
        <v>233</v>
      </c>
      <c r="C11" s="2" t="s">
        <v>90</v>
      </c>
      <c r="D11" s="2" t="s">
        <v>74</v>
      </c>
      <c r="E11" s="2" t="s">
        <v>73</v>
      </c>
      <c r="F11" s="2" t="s">
        <v>84</v>
      </c>
      <c r="G11" s="2" t="s">
        <v>89</v>
      </c>
      <c r="H11" s="2" t="s">
        <v>214</v>
      </c>
      <c r="I11" s="2" t="s">
        <v>225</v>
      </c>
      <c r="J11" s="2" t="s">
        <v>226</v>
      </c>
    </row>
    <row r="12" customFormat="false" ht="15" hidden="false" customHeight="false" outlineLevel="0" collapsed="false">
      <c r="A12" s="2" t="s">
        <v>234</v>
      </c>
      <c r="B12" s="2" t="s">
        <v>235</v>
      </c>
      <c r="C12" s="2" t="s">
        <v>96</v>
      </c>
      <c r="D12" s="2" t="s">
        <v>74</v>
      </c>
      <c r="E12" s="2" t="s">
        <v>73</v>
      </c>
      <c r="F12" s="2" t="s">
        <v>94</v>
      </c>
      <c r="G12" s="2" t="s">
        <v>99</v>
      </c>
      <c r="H12" s="2" t="s">
        <v>214</v>
      </c>
      <c r="I12" s="2" t="s">
        <v>236</v>
      </c>
      <c r="J12" s="2"/>
    </row>
    <row r="13" customFormat="false" ht="15" hidden="false" customHeight="false" outlineLevel="0" collapsed="false">
      <c r="A13" s="2" t="s">
        <v>212</v>
      </c>
      <c r="B13" s="2" t="s">
        <v>237</v>
      </c>
      <c r="C13" s="2" t="s">
        <v>238</v>
      </c>
      <c r="D13" s="2" t="s">
        <v>74</v>
      </c>
      <c r="E13" s="2" t="s">
        <v>73</v>
      </c>
      <c r="F13" s="2" t="s">
        <v>94</v>
      </c>
      <c r="G13" s="2" t="s">
        <v>99</v>
      </c>
      <c r="H13" s="2" t="s">
        <v>214</v>
      </c>
      <c r="I13" s="2" t="s">
        <v>239</v>
      </c>
      <c r="J13" s="2"/>
    </row>
    <row r="14" customFormat="false" ht="15" hidden="false" customHeight="false" outlineLevel="0" collapsed="false">
      <c r="A14" s="2" t="s">
        <v>216</v>
      </c>
      <c r="B14" s="2" t="s">
        <v>237</v>
      </c>
      <c r="C14" s="2" t="s">
        <v>240</v>
      </c>
      <c r="D14" s="2" t="s">
        <v>74</v>
      </c>
      <c r="E14" s="2" t="s">
        <v>73</v>
      </c>
      <c r="F14" s="2" t="s">
        <v>94</v>
      </c>
      <c r="G14" s="2" t="s">
        <v>99</v>
      </c>
      <c r="H14" s="2" t="s">
        <v>214</v>
      </c>
      <c r="I14" s="2" t="s">
        <v>241</v>
      </c>
      <c r="J14" s="2"/>
    </row>
    <row r="15" customFormat="false" ht="15" hidden="false" customHeight="false" outlineLevel="0" collapsed="false">
      <c r="A15" s="2" t="s">
        <v>242</v>
      </c>
      <c r="B15" s="2" t="s">
        <v>243</v>
      </c>
      <c r="C15" s="2" t="s">
        <v>115</v>
      </c>
      <c r="D15" s="2" t="s">
        <v>74</v>
      </c>
      <c r="E15" s="2" t="s">
        <v>73</v>
      </c>
      <c r="F15" s="2" t="s">
        <v>113</v>
      </c>
      <c r="G15" s="2" t="s">
        <v>118</v>
      </c>
      <c r="H15" s="2" t="s">
        <v>244</v>
      </c>
      <c r="I15" s="2" t="s">
        <v>245</v>
      </c>
      <c r="J15" s="2"/>
    </row>
    <row r="16" customFormat="false" ht="15" hidden="false" customHeight="false" outlineLevel="0" collapsed="false">
      <c r="A16" s="2" t="s">
        <v>212</v>
      </c>
      <c r="B16" s="2" t="s">
        <v>246</v>
      </c>
      <c r="C16" s="2" t="s">
        <v>247</v>
      </c>
      <c r="D16" s="2" t="s">
        <v>74</v>
      </c>
      <c r="E16" s="2" t="s">
        <v>73</v>
      </c>
      <c r="F16" s="2" t="s">
        <v>113</v>
      </c>
      <c r="G16" s="2" t="s">
        <v>118</v>
      </c>
      <c r="H16" s="2" t="s">
        <v>244</v>
      </c>
      <c r="I16" s="2" t="s">
        <v>248</v>
      </c>
      <c r="J16" s="2"/>
    </row>
    <row r="17" customFormat="false" ht="15" hidden="false" customHeight="false" outlineLevel="0" collapsed="false">
      <c r="A17" s="2" t="s">
        <v>216</v>
      </c>
      <c r="B17" s="2" t="s">
        <v>246</v>
      </c>
      <c r="C17" s="2" t="s">
        <v>249</v>
      </c>
      <c r="D17" s="2" t="s">
        <v>74</v>
      </c>
      <c r="E17" s="2" t="s">
        <v>73</v>
      </c>
      <c r="F17" s="2" t="s">
        <v>113</v>
      </c>
      <c r="G17" s="2" t="s">
        <v>118</v>
      </c>
      <c r="H17" s="2" t="s">
        <v>244</v>
      </c>
      <c r="I17" s="2" t="s">
        <v>248</v>
      </c>
      <c r="J17" s="2"/>
    </row>
    <row r="18" customFormat="false" ht="15" hidden="false" customHeight="false" outlineLevel="0" collapsed="false">
      <c r="A18" s="2" t="s">
        <v>212</v>
      </c>
      <c r="B18" s="2" t="s">
        <v>250</v>
      </c>
      <c r="C18" s="2" t="s">
        <v>251</v>
      </c>
      <c r="D18" s="2" t="s">
        <v>74</v>
      </c>
      <c r="E18" s="2" t="s">
        <v>73</v>
      </c>
      <c r="F18" s="2" t="s">
        <v>113</v>
      </c>
      <c r="G18" s="2"/>
      <c r="H18" s="2" t="s">
        <v>252</v>
      </c>
      <c r="I18" s="2" t="s">
        <v>253</v>
      </c>
      <c r="J18" s="2" t="s">
        <v>254</v>
      </c>
    </row>
    <row r="19" customFormat="false" ht="15" hidden="false" customHeight="false" outlineLevel="0" collapsed="false">
      <c r="A19" s="2" t="s">
        <v>212</v>
      </c>
      <c r="B19" s="2" t="s">
        <v>250</v>
      </c>
      <c r="C19" s="2" t="s">
        <v>255</v>
      </c>
      <c r="D19" s="2" t="s">
        <v>74</v>
      </c>
      <c r="E19" s="2" t="s">
        <v>73</v>
      </c>
      <c r="F19" s="2" t="s">
        <v>113</v>
      </c>
      <c r="G19" s="2"/>
      <c r="H19" s="2" t="s">
        <v>252</v>
      </c>
      <c r="I19" s="2" t="s">
        <v>256</v>
      </c>
      <c r="J19" s="2" t="s">
        <v>254</v>
      </c>
    </row>
    <row r="20" customFormat="false" ht="15" hidden="false" customHeight="false" outlineLevel="0" collapsed="false">
      <c r="A20" s="2" t="s">
        <v>257</v>
      </c>
      <c r="B20" s="2" t="s">
        <v>243</v>
      </c>
      <c r="C20" s="2" t="s">
        <v>141</v>
      </c>
      <c r="D20" s="2" t="s">
        <v>19</v>
      </c>
      <c r="E20" s="2" t="s">
        <v>18</v>
      </c>
      <c r="F20" s="2" t="s">
        <v>139</v>
      </c>
      <c r="G20" s="2" t="s">
        <v>101</v>
      </c>
      <c r="H20" s="2" t="s">
        <v>258</v>
      </c>
      <c r="I20" s="2" t="s">
        <v>259</v>
      </c>
      <c r="J20" s="2"/>
    </row>
    <row r="21" customFormat="false" ht="15" hidden="false" customHeight="false" outlineLevel="0" collapsed="false">
      <c r="A21" s="2" t="s">
        <v>260</v>
      </c>
      <c r="B21" s="2" t="s">
        <v>261</v>
      </c>
      <c r="C21" s="2" t="s">
        <v>262</v>
      </c>
      <c r="D21" s="2" t="s">
        <v>19</v>
      </c>
      <c r="E21" s="2" t="s">
        <v>18</v>
      </c>
      <c r="F21" s="2" t="s">
        <v>139</v>
      </c>
      <c r="G21" s="2" t="s">
        <v>101</v>
      </c>
      <c r="H21" s="2" t="s">
        <v>258</v>
      </c>
      <c r="I21" s="2" t="s">
        <v>263</v>
      </c>
      <c r="J21" s="2"/>
    </row>
    <row r="22" customFormat="false" ht="15" hidden="false" customHeight="false" outlineLevel="0" collapsed="false">
      <c r="A22" s="2" t="s">
        <v>264</v>
      </c>
      <c r="B22" s="2" t="s">
        <v>261</v>
      </c>
      <c r="C22" s="2" t="s">
        <v>265</v>
      </c>
      <c r="D22" s="2" t="s">
        <v>19</v>
      </c>
      <c r="E22" s="2" t="s">
        <v>18</v>
      </c>
      <c r="F22" s="2" t="s">
        <v>139</v>
      </c>
      <c r="G22" s="2" t="s">
        <v>101</v>
      </c>
      <c r="H22" s="2" t="s">
        <v>258</v>
      </c>
      <c r="I22" s="2" t="s">
        <v>266</v>
      </c>
      <c r="J22" s="2"/>
    </row>
    <row r="23" customFormat="false" ht="15" hidden="false" customHeight="false" outlineLevel="0" collapsed="false">
      <c r="A23" s="2" t="s">
        <v>257</v>
      </c>
      <c r="B23" s="2" t="s">
        <v>267</v>
      </c>
      <c r="C23" s="2" t="s">
        <v>124</v>
      </c>
      <c r="D23" s="2" t="s">
        <v>74</v>
      </c>
      <c r="E23" s="2" t="s">
        <v>73</v>
      </c>
      <c r="F23" s="2" t="s">
        <v>122</v>
      </c>
      <c r="G23" s="2" t="s">
        <v>127</v>
      </c>
      <c r="H23" s="2" t="s">
        <v>244</v>
      </c>
      <c r="I23" s="2" t="s">
        <v>245</v>
      </c>
      <c r="J23" s="2"/>
    </row>
    <row r="24" customFormat="false" ht="15" hidden="false" customHeight="false" outlineLevel="0" collapsed="false">
      <c r="A24" s="2" t="s">
        <v>212</v>
      </c>
      <c r="B24" s="2" t="s">
        <v>268</v>
      </c>
      <c r="C24" s="2" t="s">
        <v>269</v>
      </c>
      <c r="D24" s="2" t="s">
        <v>74</v>
      </c>
      <c r="E24" s="2" t="s">
        <v>73</v>
      </c>
      <c r="F24" s="2" t="s">
        <v>122</v>
      </c>
      <c r="G24" s="2" t="s">
        <v>127</v>
      </c>
      <c r="H24" s="2" t="s">
        <v>244</v>
      </c>
      <c r="I24" s="2" t="s">
        <v>270</v>
      </c>
      <c r="J24" s="2"/>
    </row>
    <row r="25" customFormat="false" ht="15" hidden="false" customHeight="false" outlineLevel="0" collapsed="false">
      <c r="A25" s="2" t="s">
        <v>216</v>
      </c>
      <c r="B25" s="2" t="s">
        <v>268</v>
      </c>
      <c r="C25" s="2" t="s">
        <v>271</v>
      </c>
      <c r="D25" s="2" t="s">
        <v>74</v>
      </c>
      <c r="E25" s="2" t="s">
        <v>73</v>
      </c>
      <c r="F25" s="2" t="s">
        <v>122</v>
      </c>
      <c r="G25" s="2" t="s">
        <v>127</v>
      </c>
      <c r="H25" s="2" t="s">
        <v>244</v>
      </c>
      <c r="I25" s="2" t="s">
        <v>270</v>
      </c>
      <c r="J25" s="2"/>
    </row>
    <row r="26" customFormat="false" ht="15" hidden="false" customHeight="false" outlineLevel="0" collapsed="false">
      <c r="A26" s="2" t="s">
        <v>212</v>
      </c>
      <c r="B26" s="2" t="s">
        <v>272</v>
      </c>
      <c r="C26" s="2" t="s">
        <v>273</v>
      </c>
      <c r="D26" s="2" t="s">
        <v>74</v>
      </c>
      <c r="E26" s="2" t="s">
        <v>73</v>
      </c>
      <c r="F26" s="2" t="s">
        <v>122</v>
      </c>
      <c r="G26" s="2"/>
      <c r="H26" s="2" t="s">
        <v>252</v>
      </c>
      <c r="I26" s="2" t="s">
        <v>253</v>
      </c>
      <c r="J26" s="2" t="s">
        <v>254</v>
      </c>
    </row>
    <row r="27" customFormat="false" ht="15" hidden="false" customHeight="false" outlineLevel="0" collapsed="false">
      <c r="A27" s="2" t="s">
        <v>212</v>
      </c>
      <c r="B27" s="2" t="s">
        <v>272</v>
      </c>
      <c r="C27" s="2" t="s">
        <v>274</v>
      </c>
      <c r="D27" s="2" t="s">
        <v>74</v>
      </c>
      <c r="E27" s="2" t="s">
        <v>73</v>
      </c>
      <c r="F27" s="2" t="s">
        <v>122</v>
      </c>
      <c r="G27" s="2"/>
      <c r="H27" s="2" t="s">
        <v>252</v>
      </c>
      <c r="I27" s="2" t="s">
        <v>256</v>
      </c>
      <c r="J27" s="2" t="s">
        <v>254</v>
      </c>
    </row>
    <row r="28" customFormat="false" ht="15" hidden="false" customHeight="false" outlineLevel="0" collapsed="false">
      <c r="A28" s="2" t="s">
        <v>242</v>
      </c>
      <c r="B28" s="2" t="s">
        <v>275</v>
      </c>
      <c r="C28" s="2" t="s">
        <v>133</v>
      </c>
      <c r="D28" s="2" t="s">
        <v>19</v>
      </c>
      <c r="E28" s="2" t="s">
        <v>18</v>
      </c>
      <c r="F28" s="2" t="s">
        <v>131</v>
      </c>
      <c r="G28" s="2" t="s">
        <v>101</v>
      </c>
      <c r="H28" s="2" t="s">
        <v>258</v>
      </c>
      <c r="I28" s="2" t="s">
        <v>276</v>
      </c>
      <c r="J28" s="2"/>
    </row>
    <row r="29" customFormat="false" ht="15" hidden="false" customHeight="false" outlineLevel="0" collapsed="false">
      <c r="A29" s="2" t="s">
        <v>277</v>
      </c>
      <c r="B29" s="2" t="s">
        <v>261</v>
      </c>
      <c r="C29" s="2" t="s">
        <v>278</v>
      </c>
      <c r="D29" s="2" t="s">
        <v>19</v>
      </c>
      <c r="E29" s="2" t="s">
        <v>18</v>
      </c>
      <c r="F29" s="2" t="s">
        <v>131</v>
      </c>
      <c r="G29" s="2" t="s">
        <v>101</v>
      </c>
      <c r="H29" s="2" t="s">
        <v>258</v>
      </c>
      <c r="I29" s="2" t="s">
        <v>279</v>
      </c>
      <c r="J29" s="2"/>
    </row>
    <row r="30" customFormat="false" ht="15" hidden="false" customHeight="false" outlineLevel="0" collapsed="false">
      <c r="A30" s="2" t="s">
        <v>280</v>
      </c>
      <c r="B30" s="2" t="s">
        <v>261</v>
      </c>
      <c r="C30" s="2" t="s">
        <v>281</v>
      </c>
      <c r="D30" s="2" t="s">
        <v>19</v>
      </c>
      <c r="E30" s="2" t="s">
        <v>18</v>
      </c>
      <c r="F30" s="2" t="s">
        <v>131</v>
      </c>
      <c r="G30" s="2" t="s">
        <v>101</v>
      </c>
      <c r="H30" s="2" t="s">
        <v>258</v>
      </c>
      <c r="I30" s="2" t="s">
        <v>282</v>
      </c>
      <c r="J30" s="2"/>
    </row>
    <row r="31" customFormat="false" ht="15" hidden="false" customHeight="false" outlineLevel="0" collapsed="false">
      <c r="A31" s="2" t="s">
        <v>219</v>
      </c>
      <c r="B31" s="2" t="s">
        <v>283</v>
      </c>
      <c r="C31" s="2" t="s">
        <v>21</v>
      </c>
      <c r="D31" s="2" t="s">
        <v>19</v>
      </c>
      <c r="E31" s="2" t="s">
        <v>18</v>
      </c>
      <c r="F31" s="2" t="s">
        <v>16</v>
      </c>
      <c r="G31" s="2" t="s">
        <v>24</v>
      </c>
      <c r="H31" s="2" t="s">
        <v>284</v>
      </c>
      <c r="I31" s="2" t="s">
        <v>16</v>
      </c>
      <c r="J31" s="2"/>
    </row>
    <row r="32" customFormat="false" ht="15" hidden="false" customHeight="false" outlineLevel="0" collapsed="false">
      <c r="A32" s="2" t="s">
        <v>222</v>
      </c>
      <c r="B32" s="2" t="s">
        <v>283</v>
      </c>
      <c r="C32" s="2" t="s">
        <v>26</v>
      </c>
      <c r="D32" s="2" t="s">
        <v>19</v>
      </c>
      <c r="E32" s="2" t="s">
        <v>18</v>
      </c>
      <c r="F32" s="2" t="s">
        <v>16</v>
      </c>
      <c r="G32" s="2" t="s">
        <v>24</v>
      </c>
      <c r="H32" s="2" t="s">
        <v>284</v>
      </c>
      <c r="I32" s="2" t="s">
        <v>16</v>
      </c>
      <c r="J32" s="2"/>
    </row>
    <row r="33" customFormat="false" ht="15" hidden="false" customHeight="false" outlineLevel="0" collapsed="false">
      <c r="A33" s="2" t="s">
        <v>285</v>
      </c>
      <c r="B33" s="2" t="s">
        <v>286</v>
      </c>
      <c r="C33" s="2" t="s">
        <v>287</v>
      </c>
      <c r="D33" s="2" t="s">
        <v>19</v>
      </c>
      <c r="E33" s="2" t="s">
        <v>18</v>
      </c>
      <c r="F33" s="2" t="s">
        <v>16</v>
      </c>
      <c r="G33" s="2" t="s">
        <v>24</v>
      </c>
      <c r="H33" s="2" t="s">
        <v>284</v>
      </c>
      <c r="I33" s="2" t="s">
        <v>288</v>
      </c>
      <c r="J33" s="2"/>
    </row>
    <row r="34" customFormat="false" ht="23.85" hidden="false" customHeight="false" outlineLevel="0" collapsed="false">
      <c r="A34" s="2" t="s">
        <v>223</v>
      </c>
      <c r="B34" s="2" t="s">
        <v>289</v>
      </c>
      <c r="C34" s="2" t="s">
        <v>22</v>
      </c>
      <c r="D34" s="2" t="s">
        <v>19</v>
      </c>
      <c r="E34" s="2" t="s">
        <v>18</v>
      </c>
      <c r="F34" s="2" t="s">
        <v>16</v>
      </c>
      <c r="G34" s="2" t="s">
        <v>24</v>
      </c>
      <c r="H34" s="2" t="s">
        <v>284</v>
      </c>
      <c r="I34" s="2" t="s">
        <v>225</v>
      </c>
      <c r="J34" s="2" t="s">
        <v>226</v>
      </c>
    </row>
    <row r="35" customFormat="false" ht="15" hidden="false" customHeight="false" outlineLevel="0" collapsed="false">
      <c r="A35" s="2" t="s">
        <v>219</v>
      </c>
      <c r="B35" s="2" t="s">
        <v>290</v>
      </c>
      <c r="C35" s="2" t="s">
        <v>30</v>
      </c>
      <c r="D35" s="2" t="s">
        <v>19</v>
      </c>
      <c r="E35" s="2" t="s">
        <v>18</v>
      </c>
      <c r="F35" s="2" t="s">
        <v>28</v>
      </c>
      <c r="G35" s="2" t="s">
        <v>33</v>
      </c>
      <c r="H35" s="2" t="s">
        <v>284</v>
      </c>
      <c r="I35" s="2" t="s">
        <v>28</v>
      </c>
      <c r="J35" s="2"/>
    </row>
    <row r="36" customFormat="false" ht="15" hidden="false" customHeight="false" outlineLevel="0" collapsed="false">
      <c r="A36" s="2" t="s">
        <v>222</v>
      </c>
      <c r="B36" s="2" t="s">
        <v>290</v>
      </c>
      <c r="C36" s="2" t="s">
        <v>34</v>
      </c>
      <c r="D36" s="2" t="s">
        <v>19</v>
      </c>
      <c r="E36" s="2" t="s">
        <v>18</v>
      </c>
      <c r="F36" s="2" t="s">
        <v>28</v>
      </c>
      <c r="G36" s="2" t="s">
        <v>33</v>
      </c>
      <c r="H36" s="2" t="s">
        <v>284</v>
      </c>
      <c r="I36" s="2" t="s">
        <v>28</v>
      </c>
      <c r="J36" s="2"/>
    </row>
    <row r="37" customFormat="false" ht="15" hidden="false" customHeight="false" outlineLevel="0" collapsed="false">
      <c r="A37" s="2" t="s">
        <v>291</v>
      </c>
      <c r="B37" s="2" t="s">
        <v>290</v>
      </c>
      <c r="C37" s="2" t="s">
        <v>292</v>
      </c>
      <c r="D37" s="2" t="s">
        <v>19</v>
      </c>
      <c r="E37" s="2" t="s">
        <v>18</v>
      </c>
      <c r="F37" s="2" t="s">
        <v>28</v>
      </c>
      <c r="G37" s="2" t="s">
        <v>33</v>
      </c>
      <c r="H37" s="2" t="s">
        <v>284</v>
      </c>
      <c r="I37" s="2" t="s">
        <v>293</v>
      </c>
      <c r="J37" s="2"/>
    </row>
    <row r="38" customFormat="false" ht="23.85" hidden="false" customHeight="false" outlineLevel="0" collapsed="false">
      <c r="A38" s="2" t="s">
        <v>223</v>
      </c>
      <c r="B38" s="2" t="s">
        <v>294</v>
      </c>
      <c r="C38" s="2" t="s">
        <v>31</v>
      </c>
      <c r="D38" s="2" t="s">
        <v>19</v>
      </c>
      <c r="E38" s="2" t="s">
        <v>18</v>
      </c>
      <c r="F38" s="2" t="s">
        <v>28</v>
      </c>
      <c r="G38" s="2" t="s">
        <v>33</v>
      </c>
      <c r="H38" s="2" t="s">
        <v>284</v>
      </c>
      <c r="I38" s="2" t="s">
        <v>225</v>
      </c>
      <c r="J38" s="2" t="s">
        <v>226</v>
      </c>
    </row>
    <row r="39" customFormat="false" ht="15" hidden="false" customHeight="false" outlineLevel="0" collapsed="false">
      <c r="A39" s="2" t="s">
        <v>219</v>
      </c>
      <c r="B39" s="2" t="s">
        <v>295</v>
      </c>
      <c r="C39" s="2" t="s">
        <v>41</v>
      </c>
      <c r="D39" s="2" t="s">
        <v>39</v>
      </c>
      <c r="E39" s="2" t="s">
        <v>38</v>
      </c>
      <c r="F39" s="2" t="s">
        <v>36</v>
      </c>
      <c r="G39" s="2" t="s">
        <v>44</v>
      </c>
      <c r="H39" s="2" t="s">
        <v>284</v>
      </c>
      <c r="I39" s="2" t="s">
        <v>36</v>
      </c>
      <c r="J39" s="2"/>
    </row>
    <row r="40" customFormat="false" ht="15" hidden="false" customHeight="false" outlineLevel="0" collapsed="false">
      <c r="A40" s="2" t="s">
        <v>222</v>
      </c>
      <c r="B40" s="2" t="s">
        <v>295</v>
      </c>
      <c r="C40" s="2" t="s">
        <v>45</v>
      </c>
      <c r="D40" s="2" t="s">
        <v>39</v>
      </c>
      <c r="E40" s="2" t="s">
        <v>38</v>
      </c>
      <c r="F40" s="2" t="s">
        <v>36</v>
      </c>
      <c r="G40" s="2" t="s">
        <v>44</v>
      </c>
      <c r="H40" s="2" t="s">
        <v>284</v>
      </c>
      <c r="I40" s="2" t="s">
        <v>36</v>
      </c>
      <c r="J40" s="2"/>
    </row>
    <row r="41" customFormat="false" ht="23.85" hidden="false" customHeight="false" outlineLevel="0" collapsed="false">
      <c r="A41" s="2" t="s">
        <v>223</v>
      </c>
      <c r="B41" s="2" t="s">
        <v>296</v>
      </c>
      <c r="C41" s="2" t="s">
        <v>42</v>
      </c>
      <c r="D41" s="2" t="s">
        <v>39</v>
      </c>
      <c r="E41" s="2" t="s">
        <v>38</v>
      </c>
      <c r="F41" s="2" t="s">
        <v>36</v>
      </c>
      <c r="G41" s="2" t="s">
        <v>44</v>
      </c>
      <c r="H41" s="2" t="s">
        <v>284</v>
      </c>
      <c r="I41" s="2" t="s">
        <v>225</v>
      </c>
      <c r="J41" s="2" t="s">
        <v>226</v>
      </c>
    </row>
    <row r="42" customFormat="false" ht="15" hidden="false" customHeight="false" outlineLevel="0" collapsed="false">
      <c r="A42" s="2" t="s">
        <v>219</v>
      </c>
      <c r="B42" s="2" t="s">
        <v>297</v>
      </c>
      <c r="C42" s="2" t="s">
        <v>49</v>
      </c>
      <c r="D42" s="2" t="s">
        <v>39</v>
      </c>
      <c r="E42" s="2" t="s">
        <v>38</v>
      </c>
      <c r="F42" s="2" t="s">
        <v>47</v>
      </c>
      <c r="G42" s="2" t="s">
        <v>52</v>
      </c>
      <c r="H42" s="2" t="s">
        <v>284</v>
      </c>
      <c r="I42" s="2" t="s">
        <v>47</v>
      </c>
      <c r="J42" s="2"/>
    </row>
    <row r="43" customFormat="false" ht="15" hidden="false" customHeight="false" outlineLevel="0" collapsed="false">
      <c r="A43" s="2" t="s">
        <v>222</v>
      </c>
      <c r="B43" s="2" t="s">
        <v>297</v>
      </c>
      <c r="C43" s="2" t="s">
        <v>53</v>
      </c>
      <c r="D43" s="2" t="s">
        <v>39</v>
      </c>
      <c r="E43" s="2" t="s">
        <v>38</v>
      </c>
      <c r="F43" s="2" t="s">
        <v>47</v>
      </c>
      <c r="G43" s="2" t="s">
        <v>52</v>
      </c>
      <c r="H43" s="2" t="s">
        <v>284</v>
      </c>
      <c r="I43" s="2" t="s">
        <v>47</v>
      </c>
      <c r="J43" s="2"/>
    </row>
    <row r="44" customFormat="false" ht="15" hidden="false" customHeight="false" outlineLevel="0" collapsed="false">
      <c r="A44" s="2" t="s">
        <v>285</v>
      </c>
      <c r="B44" s="2" t="s">
        <v>298</v>
      </c>
      <c r="C44" s="2" t="s">
        <v>299</v>
      </c>
      <c r="D44" s="2" t="s">
        <v>39</v>
      </c>
      <c r="E44" s="2" t="s">
        <v>38</v>
      </c>
      <c r="F44" s="2" t="s">
        <v>47</v>
      </c>
      <c r="G44" s="2" t="s">
        <v>52</v>
      </c>
      <c r="H44" s="2" t="s">
        <v>284</v>
      </c>
      <c r="I44" s="2" t="s">
        <v>300</v>
      </c>
      <c r="J44" s="2"/>
    </row>
    <row r="45" customFormat="false" ht="23.85" hidden="false" customHeight="false" outlineLevel="0" collapsed="false">
      <c r="A45" s="2" t="s">
        <v>223</v>
      </c>
      <c r="B45" s="2" t="s">
        <v>301</v>
      </c>
      <c r="C45" s="2" t="s">
        <v>50</v>
      </c>
      <c r="D45" s="2" t="s">
        <v>39</v>
      </c>
      <c r="E45" s="2" t="s">
        <v>38</v>
      </c>
      <c r="F45" s="2" t="s">
        <v>47</v>
      </c>
      <c r="G45" s="2" t="s">
        <v>52</v>
      </c>
      <c r="H45" s="2" t="s">
        <v>284</v>
      </c>
      <c r="I45" s="2" t="s">
        <v>225</v>
      </c>
      <c r="J45" s="2" t="s">
        <v>226</v>
      </c>
    </row>
    <row r="46" customFormat="false" ht="15" hidden="false" customHeight="false" outlineLevel="0" collapsed="false">
      <c r="A46" s="2" t="s">
        <v>219</v>
      </c>
      <c r="B46" s="2" t="s">
        <v>302</v>
      </c>
      <c r="C46" s="2" t="s">
        <v>57</v>
      </c>
      <c r="D46" s="2" t="s">
        <v>39</v>
      </c>
      <c r="E46" s="2" t="s">
        <v>38</v>
      </c>
      <c r="F46" s="2" t="s">
        <v>55</v>
      </c>
      <c r="G46" s="2" t="s">
        <v>60</v>
      </c>
      <c r="H46" s="2" t="s">
        <v>303</v>
      </c>
      <c r="I46" s="2" t="s">
        <v>55</v>
      </c>
      <c r="J46" s="2"/>
    </row>
    <row r="47" customFormat="false" ht="15" hidden="false" customHeight="false" outlineLevel="0" collapsed="false">
      <c r="A47" s="2" t="s">
        <v>222</v>
      </c>
      <c r="B47" s="2" t="s">
        <v>302</v>
      </c>
      <c r="C47" s="2" t="s">
        <v>61</v>
      </c>
      <c r="D47" s="2" t="s">
        <v>39</v>
      </c>
      <c r="E47" s="2" t="s">
        <v>38</v>
      </c>
      <c r="F47" s="2" t="s">
        <v>55</v>
      </c>
      <c r="G47" s="2" t="s">
        <v>60</v>
      </c>
      <c r="H47" s="2" t="s">
        <v>303</v>
      </c>
      <c r="I47" s="2" t="s">
        <v>55</v>
      </c>
      <c r="J47" s="2"/>
    </row>
    <row r="48" customFormat="false" ht="15" hidden="false" customHeight="false" outlineLevel="0" collapsed="false">
      <c r="A48" s="2" t="s">
        <v>285</v>
      </c>
      <c r="B48" s="2" t="s">
        <v>303</v>
      </c>
      <c r="C48" s="2" t="s">
        <v>304</v>
      </c>
      <c r="D48" s="2" t="s">
        <v>39</v>
      </c>
      <c r="E48" s="2" t="s">
        <v>38</v>
      </c>
      <c r="F48" s="2" t="s">
        <v>55</v>
      </c>
      <c r="G48" s="2" t="s">
        <v>60</v>
      </c>
      <c r="H48" s="2" t="s">
        <v>303</v>
      </c>
      <c r="I48" s="2" t="s">
        <v>305</v>
      </c>
      <c r="J48" s="2"/>
    </row>
    <row r="49" customFormat="false" ht="15" hidden="false" customHeight="false" outlineLevel="0" collapsed="false">
      <c r="A49" s="2" t="s">
        <v>306</v>
      </c>
      <c r="B49" s="2" t="s">
        <v>302</v>
      </c>
      <c r="C49" s="2" t="s">
        <v>307</v>
      </c>
      <c r="D49" s="2" t="s">
        <v>39</v>
      </c>
      <c r="E49" s="2" t="s">
        <v>38</v>
      </c>
      <c r="F49" s="2" t="s">
        <v>55</v>
      </c>
      <c r="G49" s="2" t="s">
        <v>60</v>
      </c>
      <c r="H49" s="2" t="s">
        <v>303</v>
      </c>
      <c r="I49" s="2" t="s">
        <v>55</v>
      </c>
      <c r="J49" s="2"/>
    </row>
    <row r="50" customFormat="false" ht="15" hidden="false" customHeight="false" outlineLevel="0" collapsed="false">
      <c r="A50" s="2" t="s">
        <v>308</v>
      </c>
      <c r="B50" s="2" t="s">
        <v>302</v>
      </c>
      <c r="C50" s="2" t="s">
        <v>309</v>
      </c>
      <c r="D50" s="2" t="s">
        <v>39</v>
      </c>
      <c r="E50" s="2" t="s">
        <v>38</v>
      </c>
      <c r="F50" s="2" t="s">
        <v>55</v>
      </c>
      <c r="G50" s="2" t="s">
        <v>60</v>
      </c>
      <c r="H50" s="2" t="s">
        <v>303</v>
      </c>
      <c r="I50" s="2" t="s">
        <v>55</v>
      </c>
      <c r="J50" s="2"/>
    </row>
    <row r="51" customFormat="false" ht="15" hidden="false" customHeight="false" outlineLevel="0" collapsed="false">
      <c r="A51" s="2" t="s">
        <v>310</v>
      </c>
      <c r="B51" s="2" t="s">
        <v>302</v>
      </c>
      <c r="C51" s="2" t="s">
        <v>311</v>
      </c>
      <c r="D51" s="2" t="s">
        <v>39</v>
      </c>
      <c r="E51" s="2" t="s">
        <v>38</v>
      </c>
      <c r="F51" s="2" t="s">
        <v>55</v>
      </c>
      <c r="G51" s="2" t="s">
        <v>60</v>
      </c>
      <c r="H51" s="2" t="s">
        <v>303</v>
      </c>
      <c r="I51" s="2" t="s">
        <v>55</v>
      </c>
      <c r="J51" s="2"/>
    </row>
    <row r="52" customFormat="false" ht="23.85" hidden="false" customHeight="false" outlineLevel="0" collapsed="false">
      <c r="A52" s="2" t="s">
        <v>223</v>
      </c>
      <c r="B52" s="2" t="s">
        <v>312</v>
      </c>
      <c r="C52" s="2" t="s">
        <v>58</v>
      </c>
      <c r="D52" s="2" t="s">
        <v>39</v>
      </c>
      <c r="E52" s="2" t="s">
        <v>38</v>
      </c>
      <c r="F52" s="2" t="s">
        <v>55</v>
      </c>
      <c r="G52" s="2" t="s">
        <v>60</v>
      </c>
      <c r="H52" s="2" t="s">
        <v>303</v>
      </c>
      <c r="I52" s="2" t="s">
        <v>225</v>
      </c>
      <c r="J52" s="2" t="s">
        <v>226</v>
      </c>
    </row>
    <row r="53" customFormat="false" ht="15" hidden="false" customHeight="false" outlineLevel="0" collapsed="false">
      <c r="A53" s="2" t="s">
        <v>219</v>
      </c>
      <c r="B53" s="2" t="s">
        <v>313</v>
      </c>
      <c r="C53" s="2" t="s">
        <v>65</v>
      </c>
      <c r="D53" s="2" t="s">
        <v>39</v>
      </c>
      <c r="E53" s="2" t="s">
        <v>38</v>
      </c>
      <c r="F53" s="2" t="s">
        <v>63</v>
      </c>
      <c r="G53" s="2" t="s">
        <v>68</v>
      </c>
      <c r="H53" s="2" t="s">
        <v>284</v>
      </c>
      <c r="I53" s="2" t="s">
        <v>63</v>
      </c>
      <c r="J53" s="2"/>
    </row>
    <row r="54" customFormat="false" ht="15" hidden="false" customHeight="false" outlineLevel="0" collapsed="false">
      <c r="A54" s="2" t="s">
        <v>222</v>
      </c>
      <c r="B54" s="2" t="s">
        <v>313</v>
      </c>
      <c r="C54" s="2" t="s">
        <v>69</v>
      </c>
      <c r="D54" s="2" t="s">
        <v>39</v>
      </c>
      <c r="E54" s="2" t="s">
        <v>38</v>
      </c>
      <c r="F54" s="2" t="s">
        <v>63</v>
      </c>
      <c r="G54" s="2" t="s">
        <v>68</v>
      </c>
      <c r="H54" s="2" t="s">
        <v>284</v>
      </c>
      <c r="I54" s="2" t="s">
        <v>63</v>
      </c>
      <c r="J54" s="2"/>
    </row>
    <row r="55" customFormat="false" ht="15" hidden="false" customHeight="false" outlineLevel="0" collapsed="false">
      <c r="A55" s="2" t="s">
        <v>285</v>
      </c>
      <c r="B55" s="2" t="s">
        <v>314</v>
      </c>
      <c r="C55" s="2" t="s">
        <v>315</v>
      </c>
      <c r="D55" s="2" t="s">
        <v>39</v>
      </c>
      <c r="E55" s="2" t="s">
        <v>38</v>
      </c>
      <c r="F55" s="2" t="s">
        <v>63</v>
      </c>
      <c r="G55" s="2" t="s">
        <v>68</v>
      </c>
      <c r="H55" s="2" t="s">
        <v>284</v>
      </c>
      <c r="I55" s="2" t="s">
        <v>316</v>
      </c>
      <c r="J55" s="2"/>
    </row>
    <row r="56" customFormat="false" ht="23.85" hidden="false" customHeight="false" outlineLevel="0" collapsed="false">
      <c r="A56" s="2" t="s">
        <v>223</v>
      </c>
      <c r="B56" s="2" t="s">
        <v>317</v>
      </c>
      <c r="C56" s="2" t="s">
        <v>66</v>
      </c>
      <c r="D56" s="2" t="s">
        <v>39</v>
      </c>
      <c r="E56" s="2" t="s">
        <v>38</v>
      </c>
      <c r="F56" s="2" t="s">
        <v>63</v>
      </c>
      <c r="G56" s="2" t="s">
        <v>68</v>
      </c>
      <c r="H56" s="2" t="s">
        <v>284</v>
      </c>
      <c r="I56" s="2" t="s">
        <v>225</v>
      </c>
      <c r="J56" s="2" t="s">
        <v>226</v>
      </c>
    </row>
    <row r="57" customFormat="false" ht="15" hidden="false" customHeight="false" outlineLevel="0" collapsed="false">
      <c r="A57" s="2" t="s">
        <v>234</v>
      </c>
      <c r="B57" s="2" t="s">
        <v>318</v>
      </c>
      <c r="C57" s="2" t="s">
        <v>106</v>
      </c>
      <c r="D57" s="2" t="s">
        <v>19</v>
      </c>
      <c r="E57" s="2" t="s">
        <v>18</v>
      </c>
      <c r="F57" s="2" t="s">
        <v>104</v>
      </c>
      <c r="G57" s="2" t="s">
        <v>109</v>
      </c>
      <c r="H57" s="2" t="s">
        <v>319</v>
      </c>
      <c r="I57" s="2" t="s">
        <v>320</v>
      </c>
      <c r="J57" s="2"/>
    </row>
    <row r="58" customFormat="false" ht="15" hidden="false" customHeight="false" outlineLevel="0" collapsed="false">
      <c r="A58" s="2" t="s">
        <v>321</v>
      </c>
      <c r="B58" s="2" t="s">
        <v>261</v>
      </c>
      <c r="C58" s="2" t="s">
        <v>322</v>
      </c>
      <c r="D58" s="2" t="s">
        <v>19</v>
      </c>
      <c r="E58" s="2" t="s">
        <v>18</v>
      </c>
      <c r="F58" s="2" t="s">
        <v>104</v>
      </c>
      <c r="G58" s="2" t="s">
        <v>109</v>
      </c>
      <c r="H58" s="2" t="s">
        <v>319</v>
      </c>
      <c r="I58" s="2" t="s">
        <v>323</v>
      </c>
      <c r="J58" s="2"/>
    </row>
    <row r="59" customFormat="false" ht="15" hidden="false" customHeight="false" outlineLevel="0" collapsed="false">
      <c r="A59" s="2" t="s">
        <v>324</v>
      </c>
      <c r="B59" s="2" t="s">
        <v>261</v>
      </c>
      <c r="C59" s="2" t="s">
        <v>325</v>
      </c>
      <c r="D59" s="2" t="s">
        <v>19</v>
      </c>
      <c r="E59" s="2" t="s">
        <v>18</v>
      </c>
      <c r="F59" s="2" t="s">
        <v>104</v>
      </c>
      <c r="G59" s="2" t="s">
        <v>109</v>
      </c>
      <c r="H59" s="2" t="s">
        <v>319</v>
      </c>
      <c r="I59" s="2" t="s">
        <v>326</v>
      </c>
      <c r="J59" s="2"/>
    </row>
    <row r="60" customFormat="false" ht="15" hidden="false" customHeight="false" outlineLevel="0" collapsed="false">
      <c r="A60" s="2" t="s">
        <v>327</v>
      </c>
      <c r="B60" s="2" t="s">
        <v>261</v>
      </c>
      <c r="C60" s="2" t="s">
        <v>328</v>
      </c>
      <c r="D60" s="2" t="s">
        <v>19</v>
      </c>
      <c r="E60" s="2" t="s">
        <v>18</v>
      </c>
      <c r="F60" s="2" t="s">
        <v>104</v>
      </c>
      <c r="G60" s="2" t="s">
        <v>109</v>
      </c>
      <c r="H60" s="2" t="s">
        <v>319</v>
      </c>
      <c r="I60" s="2" t="s">
        <v>329</v>
      </c>
      <c r="J60" s="2"/>
    </row>
    <row r="61" customFormat="false" ht="15" hidden="false" customHeight="false" outlineLevel="0" collapsed="false">
      <c r="A61" s="2" t="s">
        <v>330</v>
      </c>
      <c r="B61" s="2" t="s">
        <v>261</v>
      </c>
      <c r="C61" s="2" t="s">
        <v>331</v>
      </c>
      <c r="D61" s="2" t="s">
        <v>19</v>
      </c>
      <c r="E61" s="2" t="s">
        <v>18</v>
      </c>
      <c r="F61" s="2" t="s">
        <v>104</v>
      </c>
      <c r="G61" s="2" t="s">
        <v>109</v>
      </c>
      <c r="H61" s="2" t="s">
        <v>319</v>
      </c>
      <c r="I61" s="2" t="s">
        <v>332</v>
      </c>
      <c r="J61" s="2"/>
    </row>
    <row r="62" customFormat="false" ht="15" hidden="false" customHeight="false" outlineLevel="0" collapsed="false">
      <c r="A62" s="2" t="s">
        <v>333</v>
      </c>
      <c r="B62" s="2" t="s">
        <v>261</v>
      </c>
      <c r="C62" s="2" t="s">
        <v>334</v>
      </c>
      <c r="D62" s="2" t="s">
        <v>19</v>
      </c>
      <c r="E62" s="2" t="s">
        <v>18</v>
      </c>
      <c r="F62" s="2" t="s">
        <v>104</v>
      </c>
      <c r="G62" s="2" t="s">
        <v>109</v>
      </c>
      <c r="H62" s="2" t="s">
        <v>319</v>
      </c>
      <c r="I62" s="2" t="s">
        <v>335</v>
      </c>
      <c r="J62" s="2"/>
    </row>
    <row r="63" customFormat="false" ht="15" hidden="false" customHeight="false" outlineLevel="0" collapsed="false">
      <c r="A63" s="2" t="s">
        <v>336</v>
      </c>
      <c r="B63" s="2" t="s">
        <v>261</v>
      </c>
      <c r="C63" s="2" t="s">
        <v>337</v>
      </c>
      <c r="D63" s="2" t="s">
        <v>19</v>
      </c>
      <c r="E63" s="2" t="s">
        <v>18</v>
      </c>
      <c r="F63" s="2" t="s">
        <v>104</v>
      </c>
      <c r="G63" s="2" t="s">
        <v>109</v>
      </c>
      <c r="H63" s="2" t="s">
        <v>319</v>
      </c>
      <c r="I63" s="2" t="s">
        <v>338</v>
      </c>
      <c r="J63" s="2"/>
    </row>
    <row r="64" customFormat="false" ht="15" hidden="false" customHeight="false" outlineLevel="0" collapsed="false">
      <c r="A64" s="2" t="s">
        <v>339</v>
      </c>
      <c r="B64" s="2" t="s">
        <v>261</v>
      </c>
      <c r="C64" s="2" t="s">
        <v>340</v>
      </c>
      <c r="D64" s="2" t="s">
        <v>19</v>
      </c>
      <c r="E64" s="2" t="s">
        <v>18</v>
      </c>
      <c r="F64" s="2" t="s">
        <v>104</v>
      </c>
      <c r="G64" s="2" t="s">
        <v>109</v>
      </c>
      <c r="H64" s="2" t="s">
        <v>319</v>
      </c>
      <c r="I64" s="2" t="s">
        <v>341</v>
      </c>
      <c r="J64" s="2"/>
    </row>
    <row r="65" customFormat="false" ht="15" hidden="false" customHeight="false" outlineLevel="0" collapsed="false">
      <c r="A65" s="2" t="s">
        <v>342</v>
      </c>
      <c r="B65" s="2" t="s">
        <v>261</v>
      </c>
      <c r="C65" s="2" t="s">
        <v>343</v>
      </c>
      <c r="D65" s="2" t="s">
        <v>19</v>
      </c>
      <c r="E65" s="2" t="s">
        <v>18</v>
      </c>
      <c r="F65" s="2" t="s">
        <v>104</v>
      </c>
      <c r="G65" s="2" t="s">
        <v>109</v>
      </c>
      <c r="H65" s="2" t="s">
        <v>319</v>
      </c>
      <c r="I65" s="2" t="s">
        <v>329</v>
      </c>
      <c r="J65" s="2"/>
    </row>
    <row r="66" customFormat="false" ht="15" hidden="false" customHeight="false" outlineLevel="0" collapsed="false">
      <c r="A66" s="2" t="s">
        <v>344</v>
      </c>
      <c r="B66" s="2" t="s">
        <v>345</v>
      </c>
      <c r="C66" s="2" t="s">
        <v>346</v>
      </c>
      <c r="D66" s="2" t="s">
        <v>19</v>
      </c>
      <c r="E66" s="2" t="s">
        <v>18</v>
      </c>
      <c r="F66" s="2" t="s">
        <v>104</v>
      </c>
      <c r="G66" s="2" t="s">
        <v>109</v>
      </c>
      <c r="H66" s="2" t="s">
        <v>319</v>
      </c>
      <c r="I66" s="2" t="s">
        <v>347</v>
      </c>
      <c r="J66" s="2"/>
    </row>
    <row r="67" customFormat="false" ht="15" hidden="false" customHeight="false" outlineLevel="0" collapsed="false">
      <c r="A67" s="2" t="s">
        <v>242</v>
      </c>
      <c r="B67" s="2" t="s">
        <v>267</v>
      </c>
      <c r="C67" s="2" t="s">
        <v>151</v>
      </c>
      <c r="D67" s="2" t="s">
        <v>149</v>
      </c>
      <c r="E67" s="2" t="s">
        <v>148</v>
      </c>
      <c r="F67" s="2" t="s">
        <v>146</v>
      </c>
      <c r="G67" s="2" t="s">
        <v>101</v>
      </c>
      <c r="H67" s="2" t="s">
        <v>214</v>
      </c>
      <c r="I67" s="2" t="s">
        <v>348</v>
      </c>
      <c r="J67" s="2"/>
    </row>
    <row r="68" customFormat="false" ht="15" hidden="false" customHeight="false" outlineLevel="0" collapsed="false">
      <c r="A68" s="2" t="s">
        <v>349</v>
      </c>
      <c r="B68" s="2" t="s">
        <v>267</v>
      </c>
      <c r="C68" s="2" t="s">
        <v>152</v>
      </c>
      <c r="D68" s="2" t="s">
        <v>149</v>
      </c>
      <c r="E68" s="2" t="s">
        <v>148</v>
      </c>
      <c r="F68" s="2" t="s">
        <v>146</v>
      </c>
      <c r="G68" s="2" t="s">
        <v>101</v>
      </c>
      <c r="H68" s="2" t="s">
        <v>214</v>
      </c>
      <c r="I68" s="2" t="s">
        <v>350</v>
      </c>
      <c r="J68" s="2"/>
    </row>
    <row r="69" customFormat="false" ht="15" hidden="false" customHeight="false" outlineLevel="0" collapsed="false">
      <c r="A69" s="2" t="s">
        <v>257</v>
      </c>
      <c r="B69" s="2" t="s">
        <v>275</v>
      </c>
      <c r="C69" s="2" t="s">
        <v>158</v>
      </c>
      <c r="D69" s="2" t="s">
        <v>149</v>
      </c>
      <c r="E69" s="2" t="s">
        <v>148</v>
      </c>
      <c r="F69" s="2" t="s">
        <v>156</v>
      </c>
      <c r="G69" s="2" t="s">
        <v>101</v>
      </c>
      <c r="H69" s="2" t="s">
        <v>214</v>
      </c>
      <c r="I69" s="2" t="s">
        <v>351</v>
      </c>
      <c r="J69" s="2"/>
    </row>
    <row r="70" customFormat="false" ht="15" hidden="false" customHeight="false" outlineLevel="0" collapsed="false">
      <c r="A70" s="2" t="s">
        <v>349</v>
      </c>
      <c r="B70" s="2" t="s">
        <v>243</v>
      </c>
      <c r="C70" s="2" t="s">
        <v>159</v>
      </c>
      <c r="D70" s="2" t="s">
        <v>149</v>
      </c>
      <c r="E70" s="2" t="s">
        <v>148</v>
      </c>
      <c r="F70" s="2" t="s">
        <v>156</v>
      </c>
      <c r="G70" s="2" t="s">
        <v>101</v>
      </c>
      <c r="H70" s="2" t="s">
        <v>214</v>
      </c>
      <c r="I70" s="2" t="s">
        <v>352</v>
      </c>
      <c r="J70" s="2"/>
    </row>
  </sheetData>
  <autoFilter ref="A1:J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7"/>
    <col collapsed="false" customWidth="true" hidden="false" outlineLevel="0" max="6" min="6" style="0" width="22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1" t="s">
        <v>205</v>
      </c>
      <c r="B1" s="1" t="s">
        <v>206</v>
      </c>
      <c r="C1" s="1" t="s">
        <v>207</v>
      </c>
      <c r="D1" s="1" t="s">
        <v>3</v>
      </c>
      <c r="E1" s="1" t="s">
        <v>2</v>
      </c>
      <c r="F1" s="1" t="s">
        <v>1</v>
      </c>
      <c r="G1" s="1" t="s">
        <v>162</v>
      </c>
    </row>
    <row r="2" customFormat="false" ht="15" hidden="false" customHeight="false" outlineLevel="0" collapsed="false">
      <c r="A2" s="2" t="s">
        <v>219</v>
      </c>
      <c r="B2" s="2" t="s">
        <v>302</v>
      </c>
      <c r="C2" s="2" t="s">
        <v>57</v>
      </c>
      <c r="D2" s="2" t="s">
        <v>39</v>
      </c>
      <c r="E2" s="2" t="s">
        <v>38</v>
      </c>
      <c r="F2" s="2" t="s">
        <v>353</v>
      </c>
      <c r="G2" s="2" t="s">
        <v>354</v>
      </c>
    </row>
    <row r="3" customFormat="false" ht="15" hidden="false" customHeight="false" outlineLevel="0" collapsed="false">
      <c r="A3" s="2" t="s">
        <v>222</v>
      </c>
      <c r="B3" s="2" t="s">
        <v>302</v>
      </c>
      <c r="C3" s="2" t="s">
        <v>61</v>
      </c>
      <c r="D3" s="2" t="s">
        <v>39</v>
      </c>
      <c r="E3" s="2" t="s">
        <v>38</v>
      </c>
      <c r="F3" s="2" t="s">
        <v>353</v>
      </c>
      <c r="G3" s="2" t="s">
        <v>355</v>
      </c>
    </row>
    <row r="4" customFormat="false" ht="15" hidden="false" customHeight="false" outlineLevel="0" collapsed="false">
      <c r="A4" s="2" t="s">
        <v>356</v>
      </c>
      <c r="B4" s="2" t="s">
        <v>357</v>
      </c>
      <c r="C4" s="2" t="s">
        <v>58</v>
      </c>
      <c r="D4" s="2" t="s">
        <v>39</v>
      </c>
      <c r="E4" s="2" t="s">
        <v>38</v>
      </c>
      <c r="F4" s="2" t="s">
        <v>353</v>
      </c>
      <c r="G4" s="2" t="s">
        <v>358</v>
      </c>
    </row>
    <row r="5" customFormat="false" ht="15" hidden="false" customHeight="false" outlineLevel="0" collapsed="false">
      <c r="A5" s="2" t="s">
        <v>285</v>
      </c>
      <c r="B5" s="2" t="s">
        <v>303</v>
      </c>
      <c r="C5" s="2" t="s">
        <v>304</v>
      </c>
      <c r="D5" s="2" t="s">
        <v>39</v>
      </c>
      <c r="E5" s="2" t="s">
        <v>38</v>
      </c>
      <c r="F5" s="2" t="s">
        <v>359</v>
      </c>
      <c r="G5" s="2" t="s">
        <v>360</v>
      </c>
    </row>
    <row r="6" customFormat="false" ht="15" hidden="false" customHeight="false" outlineLevel="0" collapsed="false">
      <c r="A6" s="2" t="s">
        <v>306</v>
      </c>
      <c r="B6" s="2" t="s">
        <v>302</v>
      </c>
      <c r="C6" s="2" t="s">
        <v>307</v>
      </c>
      <c r="D6" s="2" t="s">
        <v>39</v>
      </c>
      <c r="E6" s="2" t="s">
        <v>38</v>
      </c>
      <c r="F6" s="2" t="s">
        <v>353</v>
      </c>
      <c r="G6" s="2" t="s">
        <v>361</v>
      </c>
    </row>
    <row r="7" customFormat="false" ht="15" hidden="false" customHeight="false" outlineLevel="0" collapsed="false">
      <c r="A7" s="2" t="s">
        <v>308</v>
      </c>
      <c r="B7" s="2" t="s">
        <v>302</v>
      </c>
      <c r="C7" s="2" t="s">
        <v>309</v>
      </c>
      <c r="D7" s="2" t="s">
        <v>39</v>
      </c>
      <c r="E7" s="2" t="s">
        <v>38</v>
      </c>
      <c r="F7" s="2" t="s">
        <v>353</v>
      </c>
      <c r="G7" s="2" t="s">
        <v>361</v>
      </c>
    </row>
    <row r="8" customFormat="false" ht="15" hidden="false" customHeight="false" outlineLevel="0" collapsed="false">
      <c r="A8" s="2" t="s">
        <v>310</v>
      </c>
      <c r="B8" s="2" t="s">
        <v>302</v>
      </c>
      <c r="C8" s="2" t="s">
        <v>311</v>
      </c>
      <c r="D8" s="2" t="s">
        <v>39</v>
      </c>
      <c r="E8" s="2" t="s">
        <v>38</v>
      </c>
      <c r="F8" s="2" t="s">
        <v>353</v>
      </c>
      <c r="G8" s="2" t="s">
        <v>361</v>
      </c>
    </row>
    <row r="9" customFormat="false" ht="15" hidden="false" customHeight="false" outlineLevel="0" collapsed="false">
      <c r="A9" s="2" t="s">
        <v>344</v>
      </c>
      <c r="B9" s="2" t="s">
        <v>345</v>
      </c>
      <c r="C9" s="2" t="s">
        <v>346</v>
      </c>
      <c r="D9" s="2" t="s">
        <v>19</v>
      </c>
      <c r="E9" s="2" t="s">
        <v>18</v>
      </c>
      <c r="F9" s="2" t="s">
        <v>362</v>
      </c>
      <c r="G9" s="2" t="s">
        <v>363</v>
      </c>
    </row>
    <row r="10" customFormat="false" ht="15" hidden="false" customHeight="false" outlineLevel="0" collapsed="false">
      <c r="A10" s="2" t="s">
        <v>234</v>
      </c>
      <c r="B10" s="2" t="s">
        <v>364</v>
      </c>
      <c r="C10" s="2" t="s">
        <v>106</v>
      </c>
      <c r="D10" s="2" t="s">
        <v>19</v>
      </c>
      <c r="E10" s="2" t="s">
        <v>18</v>
      </c>
      <c r="F10" s="2" t="s">
        <v>365</v>
      </c>
      <c r="G10" s="2" t="s">
        <v>366</v>
      </c>
    </row>
    <row r="11" customFormat="false" ht="15" hidden="false" customHeight="false" outlineLevel="0" collapsed="false">
      <c r="A11" s="2" t="s">
        <v>291</v>
      </c>
      <c r="B11" s="2" t="s">
        <v>290</v>
      </c>
      <c r="C11" s="2" t="s">
        <v>292</v>
      </c>
      <c r="D11" s="2" t="s">
        <v>19</v>
      </c>
      <c r="E11" s="2" t="s">
        <v>18</v>
      </c>
      <c r="F11" s="2" t="s">
        <v>367</v>
      </c>
      <c r="G11" s="2" t="s">
        <v>368</v>
      </c>
    </row>
    <row r="12" customFormat="false" ht="15" hidden="false" customHeight="false" outlineLevel="0" collapsed="false">
      <c r="A12" s="2" t="s">
        <v>212</v>
      </c>
      <c r="B12" s="2" t="s">
        <v>369</v>
      </c>
      <c r="C12" s="2" t="s">
        <v>370</v>
      </c>
      <c r="D12" s="2" t="s">
        <v>74</v>
      </c>
      <c r="E12" s="2" t="s">
        <v>73</v>
      </c>
      <c r="F12" s="2" t="s">
        <v>371</v>
      </c>
      <c r="G12" s="2" t="s">
        <v>372</v>
      </c>
    </row>
    <row r="13" customFormat="false" ht="15" hidden="false" customHeight="false" outlineLevel="0" collapsed="false">
      <c r="A13" s="2" t="s">
        <v>216</v>
      </c>
      <c r="B13" s="2" t="s">
        <v>369</v>
      </c>
      <c r="C13" s="2" t="s">
        <v>373</v>
      </c>
      <c r="D13" s="2" t="s">
        <v>74</v>
      </c>
      <c r="E13" s="2" t="s">
        <v>73</v>
      </c>
      <c r="F13" s="2" t="s">
        <v>371</v>
      </c>
      <c r="G13" s="2" t="s">
        <v>374</v>
      </c>
    </row>
    <row r="14" customFormat="false" ht="15" hidden="false" customHeight="false" outlineLevel="0" collapsed="false">
      <c r="A14" s="2" t="s">
        <v>375</v>
      </c>
      <c r="B14" s="2" t="s">
        <v>261</v>
      </c>
      <c r="C14" s="2" t="s">
        <v>334</v>
      </c>
      <c r="D14" s="2" t="s">
        <v>19</v>
      </c>
      <c r="E14" s="2" t="s">
        <v>18</v>
      </c>
      <c r="F14" s="2" t="s">
        <v>365</v>
      </c>
      <c r="G14" s="2" t="s">
        <v>376</v>
      </c>
    </row>
    <row r="15" customFormat="false" ht="15" hidden="false" customHeight="false" outlineLevel="0" collapsed="false">
      <c r="A15" s="2" t="s">
        <v>336</v>
      </c>
      <c r="B15" s="2" t="s">
        <v>261</v>
      </c>
      <c r="C15" s="2" t="s">
        <v>337</v>
      </c>
      <c r="D15" s="2" t="s">
        <v>19</v>
      </c>
      <c r="E15" s="2" t="s">
        <v>18</v>
      </c>
      <c r="F15" s="2" t="s">
        <v>365</v>
      </c>
      <c r="G15" s="2" t="s">
        <v>377</v>
      </c>
    </row>
  </sheetData>
  <autoFilter ref="A1:G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48"/>
  </cols>
  <sheetData>
    <row r="1" customFormat="false" ht="15" hidden="false" customHeight="false" outlineLevel="0" collapsed="false">
      <c r="A1" s="1" t="s">
        <v>378</v>
      </c>
      <c r="B1" s="1" t="s">
        <v>1</v>
      </c>
      <c r="C1" s="1" t="s">
        <v>379</v>
      </c>
      <c r="D1" s="1" t="s">
        <v>207</v>
      </c>
      <c r="E1" s="1" t="s">
        <v>380</v>
      </c>
    </row>
    <row r="2" customFormat="false" ht="15" hidden="false" customHeight="false" outlineLevel="0" collapsed="false">
      <c r="A2" s="2" t="s">
        <v>381</v>
      </c>
      <c r="B2" s="2" t="s">
        <v>192</v>
      </c>
      <c r="C2" s="2" t="s">
        <v>382</v>
      </c>
      <c r="D2" s="2" t="s">
        <v>76</v>
      </c>
      <c r="E2" s="2" t="s">
        <v>383</v>
      </c>
    </row>
    <row r="3" customFormat="false" ht="15" hidden="false" customHeight="false" outlineLevel="0" collapsed="false">
      <c r="A3" s="2" t="s">
        <v>381</v>
      </c>
      <c r="B3" s="2" t="s">
        <v>192</v>
      </c>
      <c r="C3" s="2" t="s">
        <v>384</v>
      </c>
      <c r="D3" s="2" t="s">
        <v>217</v>
      </c>
      <c r="E3" s="2" t="s">
        <v>385</v>
      </c>
    </row>
    <row r="4" customFormat="false" ht="15" hidden="false" customHeight="false" outlineLevel="0" collapsed="false">
      <c r="A4" s="2" t="s">
        <v>381</v>
      </c>
      <c r="B4" s="2" t="s">
        <v>192</v>
      </c>
      <c r="C4" s="2" t="s">
        <v>386</v>
      </c>
      <c r="D4" s="2" t="s">
        <v>81</v>
      </c>
      <c r="E4" s="2" t="s">
        <v>387</v>
      </c>
    </row>
    <row r="5" customFormat="false" ht="15" hidden="false" customHeight="false" outlineLevel="0" collapsed="false">
      <c r="A5" s="2" t="s">
        <v>381</v>
      </c>
      <c r="B5" s="2" t="s">
        <v>192</v>
      </c>
      <c r="C5" s="2" t="s">
        <v>388</v>
      </c>
      <c r="D5" s="2" t="s">
        <v>82</v>
      </c>
      <c r="E5" s="2" t="s">
        <v>389</v>
      </c>
    </row>
    <row r="6" customFormat="false" ht="15" hidden="false" customHeight="false" outlineLevel="0" collapsed="false">
      <c r="A6" s="2" t="s">
        <v>381</v>
      </c>
      <c r="B6" s="2" t="s">
        <v>192</v>
      </c>
      <c r="C6" s="2" t="s">
        <v>25</v>
      </c>
      <c r="D6" s="2" t="s">
        <v>80</v>
      </c>
      <c r="E6" s="2" t="s">
        <v>390</v>
      </c>
    </row>
    <row r="7" customFormat="false" ht="15" hidden="false" customHeight="false" outlineLevel="0" collapsed="false">
      <c r="A7" s="2" t="s">
        <v>391</v>
      </c>
      <c r="B7" s="2" t="s">
        <v>194</v>
      </c>
      <c r="C7" s="2" t="s">
        <v>392</v>
      </c>
      <c r="D7" s="2" t="s">
        <v>86</v>
      </c>
      <c r="E7" s="2" t="s">
        <v>393</v>
      </c>
    </row>
    <row r="8" customFormat="false" ht="15" hidden="false" customHeight="false" outlineLevel="0" collapsed="false">
      <c r="A8" s="2" t="s">
        <v>391</v>
      </c>
      <c r="B8" s="2" t="s">
        <v>194</v>
      </c>
      <c r="C8" s="2" t="s">
        <v>394</v>
      </c>
      <c r="D8" s="2" t="s">
        <v>229</v>
      </c>
      <c r="E8" s="2" t="s">
        <v>395</v>
      </c>
    </row>
    <row r="9" customFormat="false" ht="15" hidden="false" customHeight="false" outlineLevel="0" collapsed="false">
      <c r="A9" s="2" t="s">
        <v>391</v>
      </c>
      <c r="B9" s="2" t="s">
        <v>194</v>
      </c>
      <c r="C9" s="2" t="s">
        <v>396</v>
      </c>
      <c r="D9" s="2" t="s">
        <v>91</v>
      </c>
      <c r="E9" s="2" t="s">
        <v>397</v>
      </c>
    </row>
    <row r="10" customFormat="false" ht="15" hidden="false" customHeight="false" outlineLevel="0" collapsed="false">
      <c r="A10" s="2" t="s">
        <v>391</v>
      </c>
      <c r="B10" s="2" t="s">
        <v>194</v>
      </c>
      <c r="C10" s="2" t="s">
        <v>398</v>
      </c>
      <c r="D10" s="2" t="s">
        <v>92</v>
      </c>
      <c r="E10" s="2" t="s">
        <v>399</v>
      </c>
    </row>
    <row r="11" customFormat="false" ht="15" hidden="false" customHeight="false" outlineLevel="0" collapsed="false">
      <c r="A11" s="2" t="s">
        <v>391</v>
      </c>
      <c r="B11" s="2" t="s">
        <v>194</v>
      </c>
      <c r="C11" s="2" t="s">
        <v>25</v>
      </c>
      <c r="D11" s="2" t="s">
        <v>90</v>
      </c>
      <c r="E11" s="2" t="s">
        <v>390</v>
      </c>
    </row>
    <row r="12" customFormat="false" ht="15" hidden="false" customHeight="false" outlineLevel="0" collapsed="false">
      <c r="A12" s="2" t="s">
        <v>400</v>
      </c>
      <c r="B12" s="2" t="s">
        <v>190</v>
      </c>
      <c r="C12" s="2" t="s">
        <v>401</v>
      </c>
      <c r="D12" s="2" t="s">
        <v>96</v>
      </c>
      <c r="E12" s="2" t="s">
        <v>402</v>
      </c>
    </row>
    <row r="13" customFormat="false" ht="15" hidden="false" customHeight="false" outlineLevel="0" collapsed="false">
      <c r="A13" s="2" t="s">
        <v>400</v>
      </c>
      <c r="B13" s="2" t="s">
        <v>190</v>
      </c>
      <c r="C13" s="2" t="s">
        <v>403</v>
      </c>
      <c r="D13" s="2" t="s">
        <v>238</v>
      </c>
      <c r="E13" s="2" t="s">
        <v>404</v>
      </c>
    </row>
    <row r="14" customFormat="false" ht="15" hidden="false" customHeight="false" outlineLevel="0" collapsed="false">
      <c r="A14" s="2" t="s">
        <v>400</v>
      </c>
      <c r="B14" s="2" t="s">
        <v>190</v>
      </c>
      <c r="C14" s="2" t="s">
        <v>405</v>
      </c>
      <c r="D14" s="2" t="s">
        <v>240</v>
      </c>
      <c r="E14" s="2" t="s">
        <v>406</v>
      </c>
    </row>
    <row r="15" customFormat="false" ht="15" hidden="false" customHeight="false" outlineLevel="0" collapsed="false">
      <c r="A15" s="2" t="s">
        <v>146</v>
      </c>
      <c r="B15" s="2" t="s">
        <v>407</v>
      </c>
      <c r="C15" s="2" t="s">
        <v>408</v>
      </c>
      <c r="D15" s="2" t="s">
        <v>151</v>
      </c>
      <c r="E15" s="2" t="s">
        <v>409</v>
      </c>
    </row>
    <row r="16" customFormat="false" ht="15" hidden="false" customHeight="false" outlineLevel="0" collapsed="false">
      <c r="A16" s="2" t="s">
        <v>146</v>
      </c>
      <c r="B16" s="2" t="s">
        <v>407</v>
      </c>
      <c r="C16" s="2" t="s">
        <v>410</v>
      </c>
      <c r="D16" s="2" t="s">
        <v>152</v>
      </c>
      <c r="E16" s="2" t="s">
        <v>409</v>
      </c>
    </row>
    <row r="17" customFormat="false" ht="15" hidden="false" customHeight="false" outlineLevel="0" collapsed="false">
      <c r="A17" s="2" t="s">
        <v>156</v>
      </c>
      <c r="B17" s="2" t="s">
        <v>411</v>
      </c>
      <c r="C17" s="2" t="s">
        <v>412</v>
      </c>
      <c r="D17" s="2" t="s">
        <v>158</v>
      </c>
      <c r="E17" s="2" t="s">
        <v>409</v>
      </c>
    </row>
    <row r="18" customFormat="false" ht="15" hidden="false" customHeight="false" outlineLevel="0" collapsed="false">
      <c r="A18" s="2" t="s">
        <v>156</v>
      </c>
      <c r="B18" s="2" t="s">
        <v>411</v>
      </c>
      <c r="C18" s="2" t="s">
        <v>413</v>
      </c>
      <c r="D18" s="2" t="s">
        <v>159</v>
      </c>
      <c r="E18" s="2" t="s">
        <v>409</v>
      </c>
    </row>
    <row r="19" customFormat="false" ht="15" hidden="false" customHeight="false" outlineLevel="0" collapsed="false">
      <c r="A19" s="2" t="s">
        <v>113</v>
      </c>
      <c r="B19" s="2" t="s">
        <v>198</v>
      </c>
      <c r="C19" s="2" t="s">
        <v>120</v>
      </c>
      <c r="D19" s="2" t="s">
        <v>115</v>
      </c>
      <c r="E19" s="2" t="s">
        <v>414</v>
      </c>
    </row>
    <row r="20" customFormat="false" ht="15" hidden="false" customHeight="false" outlineLevel="0" collapsed="false">
      <c r="A20" s="2" t="s">
        <v>113</v>
      </c>
      <c r="B20" s="2" t="s">
        <v>198</v>
      </c>
      <c r="C20" s="2" t="s">
        <v>415</v>
      </c>
      <c r="D20" s="2" t="s">
        <v>247</v>
      </c>
      <c r="E20" s="2" t="s">
        <v>416</v>
      </c>
    </row>
    <row r="21" customFormat="false" ht="15" hidden="false" customHeight="false" outlineLevel="0" collapsed="false">
      <c r="A21" s="2" t="s">
        <v>113</v>
      </c>
      <c r="B21" s="2" t="s">
        <v>198</v>
      </c>
      <c r="C21" s="2" t="s">
        <v>417</v>
      </c>
      <c r="D21" s="2" t="s">
        <v>249</v>
      </c>
      <c r="E21" s="2" t="s">
        <v>416</v>
      </c>
    </row>
    <row r="22" customFormat="false" ht="15" hidden="false" customHeight="false" outlineLevel="0" collapsed="false">
      <c r="A22" s="2" t="s">
        <v>122</v>
      </c>
      <c r="B22" s="2" t="s">
        <v>202</v>
      </c>
      <c r="C22" s="2" t="s">
        <v>129</v>
      </c>
      <c r="D22" s="2" t="s">
        <v>124</v>
      </c>
      <c r="E22" s="2" t="s">
        <v>414</v>
      </c>
    </row>
    <row r="23" customFormat="false" ht="15" hidden="false" customHeight="false" outlineLevel="0" collapsed="false">
      <c r="A23" s="2" t="s">
        <v>122</v>
      </c>
      <c r="B23" s="2" t="s">
        <v>202</v>
      </c>
      <c r="C23" s="2" t="s">
        <v>418</v>
      </c>
      <c r="D23" s="2" t="s">
        <v>269</v>
      </c>
      <c r="E23" s="2" t="s">
        <v>419</v>
      </c>
    </row>
    <row r="24" customFormat="false" ht="15" hidden="false" customHeight="false" outlineLevel="0" collapsed="false">
      <c r="A24" s="2" t="s">
        <v>122</v>
      </c>
      <c r="B24" s="2" t="s">
        <v>202</v>
      </c>
      <c r="C24" s="2" t="s">
        <v>420</v>
      </c>
      <c r="D24" s="2" t="s">
        <v>271</v>
      </c>
      <c r="E24" s="2" t="s">
        <v>419</v>
      </c>
    </row>
  </sheetData>
  <autoFilter ref="A1:E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2026-10-27T18:34:00Z</dcterms:created>
  <dc:creator>openpyxl</dc:creator>
  <dc:description/>
  <dc:language>en-US</dc:language>
  <cp:lastModifiedBy/>
  <dcterms:modified xsi:type="dcterms:W3CDTF">2026-10-27T18:34:00Z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